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8_{9827B8D0-381E-458E-8A82-B3DD1A7C2CA8}" xr6:coauthVersionLast="47" xr6:coauthVersionMax="47" xr10:uidLastSave="{00000000-0000-0000-0000-000000000000}"/>
  <bookViews>
    <workbookView xWindow="-108" yWindow="-108" windowWidth="23256" windowHeight="12456" xr2:uid="{E027FE5E-3388-4B43-9185-7478E594090F}"/>
  </bookViews>
  <sheets>
    <sheet name="student_performance_dataset" sheetId="1" r:id="rId1"/>
  </sheets>
  <definedNames>
    <definedName name="_xlchart.v1.0" hidden="1">student_performance_dataset!$E$2:$E$105</definedName>
    <definedName name="_xlchart.v1.1" hidden="1">student_performance_dataset!$G$1</definedName>
    <definedName name="_xlchart.v1.10" hidden="1">student_performance_dataset!$G$1</definedName>
    <definedName name="_xlchart.v1.11" hidden="1">student_performance_dataset!$G$2:$G$100</definedName>
    <definedName name="_xlchart.v1.2" hidden="1">student_performance_dataset!$E$2:$E$105</definedName>
    <definedName name="_xlchart.v1.3" hidden="1">student_performance_dataset!$G$1</definedName>
    <definedName name="_xlchart.v1.4" hidden="1">student_performance_dataset!$F$2:$F$102</definedName>
    <definedName name="_xlchart.v1.5" hidden="1">student_performance_dataset!$H$1</definedName>
    <definedName name="_xlchart.v1.6" hidden="1">student_performance_dataset!$J$1</definedName>
    <definedName name="_xlchart.v1.7" hidden="1">student_performance_dataset!$J$7:$J$100</definedName>
    <definedName name="_xlchart.v1.8" hidden="1">student_performance_dataset!$G$2:$G$100</definedName>
    <definedName name="_xlchart.v1.9" hidden="1">student_performance_dataset!$E$2:$E$105</definedName>
  </definedNames>
  <calcPr calcId="0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M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</calcChain>
</file>

<file path=xl/sharedStrings.xml><?xml version="1.0" encoding="utf-8"?>
<sst xmlns="http://schemas.openxmlformats.org/spreadsheetml/2006/main" count="221" uniqueCount="45">
  <si>
    <t>Student_ID</t>
  </si>
  <si>
    <t>Name</t>
  </si>
  <si>
    <t>Age</t>
  </si>
  <si>
    <t>Gender</t>
  </si>
  <si>
    <t>Hours_Studied</t>
  </si>
  <si>
    <t>Attendance (%)</t>
  </si>
  <si>
    <t>Math_Score</t>
  </si>
  <si>
    <t>English_Score</t>
  </si>
  <si>
    <t>Science_Score</t>
  </si>
  <si>
    <t>Mina</t>
  </si>
  <si>
    <t>M</t>
  </si>
  <si>
    <t>Aarav</t>
  </si>
  <si>
    <t>F</t>
  </si>
  <si>
    <t>Raj</t>
  </si>
  <si>
    <t>Sunita</t>
  </si>
  <si>
    <t>Bikash</t>
  </si>
  <si>
    <t>Kusum</t>
  </si>
  <si>
    <t>Ramesh</t>
  </si>
  <si>
    <t>Suman</t>
  </si>
  <si>
    <t>Pooja</t>
  </si>
  <si>
    <t>Sita</t>
  </si>
  <si>
    <t>Kiran</t>
  </si>
  <si>
    <t>Manoj</t>
  </si>
  <si>
    <t>Nisha</t>
  </si>
  <si>
    <t>Deepak</t>
  </si>
  <si>
    <t>Aditi</t>
  </si>
  <si>
    <t>Prakash</t>
  </si>
  <si>
    <t>Niraj</t>
  </si>
  <si>
    <t>Laxmi</t>
  </si>
  <si>
    <t>Anita</t>
  </si>
  <si>
    <t>Sarita</t>
  </si>
  <si>
    <t>Hours Studied vs Maths Score</t>
  </si>
  <si>
    <t>Attendace VS Science Score</t>
  </si>
  <si>
    <t>MAX Score in Maths = 99</t>
  </si>
  <si>
    <t>MAX Score in Englsih = 100</t>
  </si>
  <si>
    <t>MAX Score in Science= 98</t>
  </si>
  <si>
    <t>MIN Score in maths = 30</t>
  </si>
  <si>
    <t>MIN Score in Science = 30</t>
  </si>
  <si>
    <t>MIN Score English = 31</t>
  </si>
  <si>
    <t>Average in Maths = 66.40</t>
  </si>
  <si>
    <t>Average in English = 63.14</t>
  </si>
  <si>
    <t>Average in Maths = 63.62</t>
  </si>
  <si>
    <t>Average of All three subjects</t>
  </si>
  <si>
    <t>LENGTH OF NAME</t>
  </si>
  <si>
    <t>Exam 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</si>
</sst>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79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2" fontId="16" fillId="0" borderId="0" xfId="0" applyNumberFormat="1" applyFont="1" applyAlignment="1">
      <alignment horizontal="center"/>
    </xf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indent="3"/>
    </xf>
    <xf numFmtId="0" fontId="0" fillId="0" borderId="0" xfId="0" applyAlignment="1">
      <alignment horizontal="left" indent="8"/>
    </xf>
    <xf numFmtId="0" fontId="0" fillId="0" borderId="0" xfId="0" applyAlignment="1">
      <alignment wrapText="1"/>
    </xf>
    <xf numFmtId="17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9" formatCode="[$-F800]dddd\,\ mmmm\ dd\,\ 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0.000"/>
      <alignment horizontal="center" vertical="bottom" textRotation="0" wrapText="0" indent="0" justifyLastLine="0" shrinkToFit="0" readingOrder="0"/>
    </dxf>
    <dxf>
      <numFmt numFmtId="167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student_performance_dataset!$L$1</c:f>
              <c:strCache>
                <c:ptCount val="1"/>
                <c:pt idx="0">
                  <c:v>Hours Studied vs Maths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student_performance_dataset!$J$2:$J$105</c:f>
              <c:numCache>
                <c:formatCode>General</c:formatCode>
                <c:ptCount val="104"/>
                <c:pt idx="0">
                  <c:v>60</c:v>
                </c:pt>
                <c:pt idx="1">
                  <c:v>48</c:v>
                </c:pt>
                <c:pt idx="2">
                  <c:v>90</c:v>
                </c:pt>
                <c:pt idx="3">
                  <c:v>83</c:v>
                </c:pt>
                <c:pt idx="4">
                  <c:v>68</c:v>
                </c:pt>
                <c:pt idx="5">
                  <c:v>48</c:v>
                </c:pt>
                <c:pt idx="6">
                  <c:v>68</c:v>
                </c:pt>
                <c:pt idx="7">
                  <c:v>96</c:v>
                </c:pt>
                <c:pt idx="8">
                  <c:v>74</c:v>
                </c:pt>
                <c:pt idx="9">
                  <c:v>42</c:v>
                </c:pt>
                <c:pt idx="10">
                  <c:v>87</c:v>
                </c:pt>
                <c:pt idx="11">
                  <c:v>49</c:v>
                </c:pt>
                <c:pt idx="12">
                  <c:v>90</c:v>
                </c:pt>
                <c:pt idx="13">
                  <c:v>68</c:v>
                </c:pt>
                <c:pt idx="14">
                  <c:v>30</c:v>
                </c:pt>
                <c:pt idx="15">
                  <c:v>32</c:v>
                </c:pt>
                <c:pt idx="16">
                  <c:v>91</c:v>
                </c:pt>
                <c:pt idx="17">
                  <c:v>92</c:v>
                </c:pt>
                <c:pt idx="18">
                  <c:v>54</c:v>
                </c:pt>
                <c:pt idx="19">
                  <c:v>85</c:v>
                </c:pt>
                <c:pt idx="20">
                  <c:v>62</c:v>
                </c:pt>
                <c:pt idx="21">
                  <c:v>67</c:v>
                </c:pt>
                <c:pt idx="22">
                  <c:v>35</c:v>
                </c:pt>
                <c:pt idx="23">
                  <c:v>87</c:v>
                </c:pt>
                <c:pt idx="24">
                  <c:v>73</c:v>
                </c:pt>
                <c:pt idx="25">
                  <c:v>74</c:v>
                </c:pt>
                <c:pt idx="26">
                  <c:v>61</c:v>
                </c:pt>
                <c:pt idx="27">
                  <c:v>74</c:v>
                </c:pt>
                <c:pt idx="28">
                  <c:v>90</c:v>
                </c:pt>
                <c:pt idx="29">
                  <c:v>76</c:v>
                </c:pt>
                <c:pt idx="30">
                  <c:v>50</c:v>
                </c:pt>
                <c:pt idx="31">
                  <c:v>65</c:v>
                </c:pt>
                <c:pt idx="32">
                  <c:v>48</c:v>
                </c:pt>
                <c:pt idx="33">
                  <c:v>49</c:v>
                </c:pt>
                <c:pt idx="34">
                  <c:v>86</c:v>
                </c:pt>
                <c:pt idx="35">
                  <c:v>47</c:v>
                </c:pt>
                <c:pt idx="36">
                  <c:v>76</c:v>
                </c:pt>
                <c:pt idx="37">
                  <c:v>78</c:v>
                </c:pt>
                <c:pt idx="38">
                  <c:v>43</c:v>
                </c:pt>
                <c:pt idx="39">
                  <c:v>44</c:v>
                </c:pt>
                <c:pt idx="40">
                  <c:v>60</c:v>
                </c:pt>
                <c:pt idx="41">
                  <c:v>30</c:v>
                </c:pt>
                <c:pt idx="42">
                  <c:v>83</c:v>
                </c:pt>
                <c:pt idx="43">
                  <c:v>32</c:v>
                </c:pt>
                <c:pt idx="44">
                  <c:v>45</c:v>
                </c:pt>
                <c:pt idx="45">
                  <c:v>86</c:v>
                </c:pt>
                <c:pt idx="46">
                  <c:v>41</c:v>
                </c:pt>
                <c:pt idx="47">
                  <c:v>45</c:v>
                </c:pt>
                <c:pt idx="48">
                  <c:v>53</c:v>
                </c:pt>
                <c:pt idx="49">
                  <c:v>57</c:v>
                </c:pt>
                <c:pt idx="50">
                  <c:v>37</c:v>
                </c:pt>
                <c:pt idx="51">
                  <c:v>65</c:v>
                </c:pt>
                <c:pt idx="52">
                  <c:v>37</c:v>
                </c:pt>
                <c:pt idx="53">
                  <c:v>87</c:v>
                </c:pt>
                <c:pt idx="54">
                  <c:v>89</c:v>
                </c:pt>
                <c:pt idx="55">
                  <c:v>79</c:v>
                </c:pt>
                <c:pt idx="56">
                  <c:v>57</c:v>
                </c:pt>
                <c:pt idx="57">
                  <c:v>70</c:v>
                </c:pt>
                <c:pt idx="58">
                  <c:v>93</c:v>
                </c:pt>
                <c:pt idx="59">
                  <c:v>56</c:v>
                </c:pt>
                <c:pt idx="60">
                  <c:v>92</c:v>
                </c:pt>
                <c:pt idx="61">
                  <c:v>46</c:v>
                </c:pt>
                <c:pt idx="62">
                  <c:v>62</c:v>
                </c:pt>
                <c:pt idx="63">
                  <c:v>58</c:v>
                </c:pt>
                <c:pt idx="64">
                  <c:v>42</c:v>
                </c:pt>
                <c:pt idx="65">
                  <c:v>75</c:v>
                </c:pt>
                <c:pt idx="66">
                  <c:v>64</c:v>
                </c:pt>
                <c:pt idx="67">
                  <c:v>35</c:v>
                </c:pt>
                <c:pt idx="68">
                  <c:v>98</c:v>
                </c:pt>
                <c:pt idx="69">
                  <c:v>76</c:v>
                </c:pt>
                <c:pt idx="70">
                  <c:v>54</c:v>
                </c:pt>
                <c:pt idx="71">
                  <c:v>95</c:v>
                </c:pt>
                <c:pt idx="72">
                  <c:v>39</c:v>
                </c:pt>
                <c:pt idx="73">
                  <c:v>85</c:v>
                </c:pt>
                <c:pt idx="74">
                  <c:v>59</c:v>
                </c:pt>
                <c:pt idx="75">
                  <c:v>34</c:v>
                </c:pt>
                <c:pt idx="76">
                  <c:v>62</c:v>
                </c:pt>
                <c:pt idx="77">
                  <c:v>94</c:v>
                </c:pt>
                <c:pt idx="78">
                  <c:v>47</c:v>
                </c:pt>
                <c:pt idx="79">
                  <c:v>78</c:v>
                </c:pt>
                <c:pt idx="80">
                  <c:v>40</c:v>
                </c:pt>
                <c:pt idx="81">
                  <c:v>55</c:v>
                </c:pt>
                <c:pt idx="82">
                  <c:v>92</c:v>
                </c:pt>
                <c:pt idx="83">
                  <c:v>88</c:v>
                </c:pt>
                <c:pt idx="84">
                  <c:v>56</c:v>
                </c:pt>
                <c:pt idx="85">
                  <c:v>78</c:v>
                </c:pt>
                <c:pt idx="86">
                  <c:v>62</c:v>
                </c:pt>
                <c:pt idx="87">
                  <c:v>30</c:v>
                </c:pt>
                <c:pt idx="88">
                  <c:v>50</c:v>
                </c:pt>
                <c:pt idx="89">
                  <c:v>84</c:v>
                </c:pt>
                <c:pt idx="90">
                  <c:v>35</c:v>
                </c:pt>
                <c:pt idx="91">
                  <c:v>98</c:v>
                </c:pt>
                <c:pt idx="92">
                  <c:v>34</c:v>
                </c:pt>
                <c:pt idx="93">
                  <c:v>32</c:v>
                </c:pt>
                <c:pt idx="94">
                  <c:v>82</c:v>
                </c:pt>
                <c:pt idx="95">
                  <c:v>52</c:v>
                </c:pt>
                <c:pt idx="96">
                  <c:v>82</c:v>
                </c:pt>
                <c:pt idx="97">
                  <c:v>66</c:v>
                </c:pt>
                <c:pt idx="98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D-4ADC-A2BB-BD3A6A42CDA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20640815"/>
        <c:axId val="1720639375"/>
      </c:scatterChart>
      <c:valAx>
        <c:axId val="172064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9375"/>
        <c:crosses val="autoZero"/>
        <c:crossBetween val="midCat"/>
      </c:valAx>
      <c:valAx>
        <c:axId val="17206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  <a:r>
                  <a:rPr lang="en-US" baseline="0"/>
                  <a:t> Studied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4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Maths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Maths Score</a:t>
          </a:r>
        </a:p>
      </cx:txPr>
    </cx:title>
    <cx:plotArea>
      <cx:plotAreaRegion>
        <cx:series layoutId="clusteredColumn" uniqueId="{613D7C4E-DD95-454A-AB94-FC4703A57187}">
          <cx:tx>
            <cx:txData>
              <cx:f>_xlchart.v1.5</cx:f>
              <cx:v>Math_Score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Performance acoording to attendance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 acoording to attendance</a:t>
          </a:r>
        </a:p>
      </cx:txPr>
    </cx:title>
    <cx:plotArea>
      <cx:plotAreaRegion>
        <cx:series layoutId="clusteredColumn" uniqueId="{266364A8-8250-4A44-95FF-A18A9E68BE9B}">
          <cx:dataId val="0"/>
          <cx:layoutPr>
            <cx:binning intervalClosed="r"/>
          </cx:layoutPr>
          <cx:axisId val="1"/>
        </cx:series>
        <cx:series layoutId="paretoLine" ownerIdx="0" uniqueId="{0627D967-431A-4034-A4F4-2EA8412BD97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2404604</xdr:colOff>
      <xdr:row>10</xdr:row>
      <xdr:rowOff>183209</xdr:rowOff>
    </xdr:from>
    <xdr:to>
      <xdr:col>23</xdr:col>
      <xdr:colOff>118608</xdr:colOff>
      <xdr:row>26</xdr:row>
      <xdr:rowOff>84411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9ACFE6E-B1B9-AF7D-631D-34FFDC7BD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42195" y="2088209"/>
              <a:ext cx="5870868" cy="29492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69808</xdr:colOff>
      <xdr:row>26</xdr:row>
      <xdr:rowOff>97286</xdr:rowOff>
    </xdr:from>
    <xdr:to>
      <xdr:col>22</xdr:col>
      <xdr:colOff>179765</xdr:colOff>
      <xdr:row>41</xdr:row>
      <xdr:rowOff>19607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EAADF-79C9-6559-5CB6-8E369AB11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140854</xdr:colOff>
      <xdr:row>26</xdr:row>
      <xdr:rowOff>127020</xdr:rowOff>
    </xdr:from>
    <xdr:to>
      <xdr:col>29</xdr:col>
      <xdr:colOff>439880</xdr:colOff>
      <xdr:row>42</xdr:row>
      <xdr:rowOff>25420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3114E36-E21E-8FC3-C4B4-8B02A6A206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29172" y="5080020"/>
              <a:ext cx="4541981" cy="294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26D03-5168-4699-906D-477D2F834E3F}" name="Table1" displayName="Table1" ref="A1:N100" totalsRowShown="0" headerRowDxfId="38" dataDxfId="37">
  <autoFilter ref="A1:N100" xr:uid="{DE626D03-5168-4699-906D-477D2F834E3F}"/>
  <sortState xmlns:xlrd2="http://schemas.microsoft.com/office/spreadsheetml/2017/richdata2" ref="A2:M100">
    <sortCondition ref="A1:A100"/>
  </sortState>
  <tableColumns count="14">
    <tableColumn id="1" xr3:uid="{F253CDB1-6DAB-4565-90D9-35D4B8F24D99}" name="Student_ID" dataDxfId="35" totalsRowDxfId="36"/>
    <tableColumn id="2" xr3:uid="{41464B8C-C638-4712-BFD9-415D03EAB4E8}" name="Name" dataDxfId="33" totalsRowDxfId="34"/>
    <tableColumn id="21" xr3:uid="{AD85908F-3560-4241-86B7-749F75565528}" name="LENGTH OF NAME" dataDxfId="11" totalsRowDxfId="12">
      <calculatedColumnFormula>LEN(B2)</calculatedColumnFormula>
    </tableColumn>
    <tableColumn id="3" xr3:uid="{69D5BEE2-1C77-4BA7-8DFA-9F6A18BC9FA4}" name="Age" dataDxfId="31" totalsRowDxfId="32"/>
    <tableColumn id="4" xr3:uid="{9F8AE2F8-1973-419D-91ED-01D24D1CBFB6}" name="Gender" dataDxfId="29" totalsRowDxfId="30"/>
    <tableColumn id="5" xr3:uid="{A5A082B5-EF4D-4A96-995F-A259D7203ACE}" name="Hours_Studied" dataDxfId="27" totalsRowDxfId="28"/>
    <tableColumn id="6" xr3:uid="{684E526D-0884-4754-86DD-B644815F60A4}" name="Attendance (%)" dataDxfId="25" totalsRowDxfId="26"/>
    <tableColumn id="7" xr3:uid="{434DF6C7-FCA6-45D2-A554-6A632C272FE8}" name="Math_Score" dataDxfId="23" totalsRowDxfId="24"/>
    <tableColumn id="8" xr3:uid="{8E58E3AD-6A79-478D-A2D2-3C224292CD75}" name="English_Score" dataDxfId="21" totalsRowDxfId="22"/>
    <tableColumn id="9" xr3:uid="{2DD13D6E-34B9-4CBB-B1F4-1AA108285D51}" name="Science_Score" dataDxfId="19" totalsRowDxfId="20"/>
    <tableColumn id="19" xr3:uid="{203B76EA-6F1D-4733-B3B0-C9A11658B2C2}" name="Average of All three subjects" dataDxfId="13" totalsRowDxfId="14">
      <calculatedColumnFormula>AVERAGE(H2:J2)</calculatedColumnFormula>
    </tableColumn>
    <tableColumn id="10" xr3:uid="{2BF84E6E-ADA6-4763-B7BC-A90F0081404C}" name="Hours Studied vs Maths Score" dataDxfId="17" totalsRowDxfId="18">
      <calculatedColumnFormula>CORREL(F2:F100,H2:H100)</calculatedColumnFormula>
    </tableColumn>
    <tableColumn id="11" xr3:uid="{89569AB3-2EE9-4D87-936D-C38784C19F58}" name="Attendace VS Science Score" dataDxfId="15" totalsRowDxfId="16">
      <calculatedColumnFormula>CORREL(G2:G100,J2:J100)</calculatedColumnFormula>
    </tableColumn>
    <tableColumn id="23" xr3:uid="{315D65DC-AD0F-477C-BF04-3B73D4236317}" name="Exam Date and Time" dataDxfId="9" totalsRowDxfId="10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0ABF-5237-42A0-BD9A-C3DA9AD0CEF4}">
  <dimension ref="A1:S104"/>
  <sheetViews>
    <sheetView tabSelected="1" topLeftCell="D1" zoomScale="44" zoomScaleNormal="84" workbookViewId="0">
      <pane ySplit="1" topLeftCell="A15" activePane="bottomLeft" state="frozen"/>
      <selection pane="bottomLeft" activeCell="X46" sqref="X46"/>
    </sheetView>
  </sheetViews>
  <sheetFormatPr defaultRowHeight="14.4" x14ac:dyDescent="0.3"/>
  <cols>
    <col min="1" max="1" width="23.6640625" bestFit="1" customWidth="1"/>
    <col min="2" max="2" width="14.77734375" bestFit="1" customWidth="1"/>
    <col min="3" max="3" width="21.5546875" bestFit="1" customWidth="1"/>
    <col min="4" max="4" width="18.88671875" bestFit="1" customWidth="1"/>
    <col min="5" max="5" width="28.21875" customWidth="1"/>
    <col min="6" max="6" width="28.6640625" bestFit="1" customWidth="1"/>
    <col min="7" max="7" width="25.33203125" bestFit="1" customWidth="1"/>
    <col min="8" max="8" width="19.44140625" bestFit="1" customWidth="1"/>
    <col min="9" max="9" width="44.33203125" bestFit="1" customWidth="1"/>
    <col min="10" max="10" width="31.88671875" bestFit="1" customWidth="1"/>
    <col min="11" max="11" width="45.21875" customWidth="1"/>
    <col min="12" max="12" width="47.88671875" bestFit="1" customWidth="1"/>
    <col min="13" max="13" width="45.5546875" bestFit="1" customWidth="1"/>
    <col min="14" max="14" width="35.44140625" bestFit="1" customWidth="1"/>
    <col min="15" max="15" width="13" bestFit="1" customWidth="1"/>
  </cols>
  <sheetData>
    <row r="1" spans="1:14" s="3" customFormat="1" x14ac:dyDescent="0.3">
      <c r="A1" s="4" t="s">
        <v>0</v>
      </c>
      <c r="B1" s="4" t="s">
        <v>1</v>
      </c>
      <c r="C1" s="4" t="s">
        <v>43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42</v>
      </c>
      <c r="L1" s="4" t="s">
        <v>31</v>
      </c>
      <c r="M1" s="4" t="s">
        <v>32</v>
      </c>
      <c r="N1" s="4" t="s">
        <v>44</v>
      </c>
    </row>
    <row r="2" spans="1:14" x14ac:dyDescent="0.3">
      <c r="A2" s="1">
        <v>1</v>
      </c>
      <c r="B2" s="1" t="s">
        <v>9</v>
      </c>
      <c r="C2" s="1">
        <f t="shared" ref="C2:C33" si="0">LEN(B2)</f>
        <v>4</v>
      </c>
      <c r="D2" s="1">
        <v>17</v>
      </c>
      <c r="E2" s="1" t="s">
        <v>10</v>
      </c>
      <c r="F2" s="1">
        <v>7</v>
      </c>
      <c r="G2" s="1">
        <v>61</v>
      </c>
      <c r="H2" s="1">
        <v>71</v>
      </c>
      <c r="I2" s="1">
        <v>41</v>
      </c>
      <c r="J2" s="1">
        <v>60</v>
      </c>
      <c r="K2" s="5">
        <f>AVERAGE(H2:J2)</f>
        <v>57.333333333333336</v>
      </c>
      <c r="L2" s="6">
        <f>CORREL(F2:F100,H2:H100)</f>
        <v>8.8626502359748033E-2</v>
      </c>
      <c r="M2" s="5">
        <f>CORREL(G2:G100,J2:J100)</f>
        <v>-0.11587334505177839</v>
      </c>
      <c r="N2" s="11">
        <f ca="1">NOW()</f>
        <v>46029.772992129627</v>
      </c>
    </row>
    <row r="3" spans="1:14" x14ac:dyDescent="0.3">
      <c r="A3" s="1">
        <v>2</v>
      </c>
      <c r="B3" s="1" t="s">
        <v>11</v>
      </c>
      <c r="C3" s="1">
        <f t="shared" si="0"/>
        <v>5</v>
      </c>
      <c r="D3" s="1">
        <v>18</v>
      </c>
      <c r="E3" s="1" t="s">
        <v>12</v>
      </c>
      <c r="F3" s="1">
        <v>17</v>
      </c>
      <c r="G3" s="1">
        <v>60</v>
      </c>
      <c r="H3" s="1">
        <v>55</v>
      </c>
      <c r="I3" s="1">
        <v>79</v>
      </c>
      <c r="J3" s="1">
        <v>48</v>
      </c>
      <c r="K3" s="5">
        <f>AVERAGE(H3:J3)</f>
        <v>60.666666666666664</v>
      </c>
      <c r="L3" s="6">
        <f t="shared" ref="L3:L66" si="1">CORREL(F3:F101,H3:H101)</f>
        <v>8.9815007154289611E-2</v>
      </c>
      <c r="M3" s="5">
        <f t="shared" ref="M3:M66" si="2">CORREL(G3:G101,J3:J101)</f>
        <v>-0.12127351429147434</v>
      </c>
      <c r="N3" s="11">
        <f t="shared" ref="N3:N65" ca="1" si="3">NOW()</f>
        <v>46029.772992129627</v>
      </c>
    </row>
    <row r="4" spans="1:14" x14ac:dyDescent="0.3">
      <c r="A4" s="1">
        <v>3</v>
      </c>
      <c r="B4" s="1" t="s">
        <v>13</v>
      </c>
      <c r="C4" s="1">
        <f t="shared" si="0"/>
        <v>3</v>
      </c>
      <c r="D4" s="1">
        <v>15</v>
      </c>
      <c r="E4" s="1" t="s">
        <v>12</v>
      </c>
      <c r="F4" s="1">
        <v>20</v>
      </c>
      <c r="G4" s="1">
        <v>71</v>
      </c>
      <c r="H4" s="1">
        <v>79</v>
      </c>
      <c r="I4" s="1">
        <v>64</v>
      </c>
      <c r="J4" s="1">
        <v>90</v>
      </c>
      <c r="K4" s="5">
        <f>AVERAGE(H4:J4)</f>
        <v>77.666666666666671</v>
      </c>
      <c r="L4" s="6">
        <f t="shared" si="1"/>
        <v>9.6395676732529079E-2</v>
      </c>
      <c r="M4" s="5">
        <f t="shared" si="2"/>
        <v>-0.1399502148585271</v>
      </c>
      <c r="N4" s="11">
        <f t="shared" ca="1" si="3"/>
        <v>46029.772992129627</v>
      </c>
    </row>
    <row r="5" spans="1:14" x14ac:dyDescent="0.3">
      <c r="A5" s="1">
        <v>4</v>
      </c>
      <c r="B5" s="1" t="s">
        <v>14</v>
      </c>
      <c r="C5" s="1">
        <f t="shared" si="0"/>
        <v>6</v>
      </c>
      <c r="D5" s="1">
        <v>17</v>
      </c>
      <c r="E5" s="1" t="s">
        <v>12</v>
      </c>
      <c r="F5" s="1">
        <v>4</v>
      </c>
      <c r="G5" s="1">
        <v>64</v>
      </c>
      <c r="H5" s="1">
        <v>54</v>
      </c>
      <c r="I5" s="1">
        <v>62</v>
      </c>
      <c r="J5" s="1">
        <v>83</v>
      </c>
      <c r="K5" s="5">
        <f>AVERAGE(H5:J5)</f>
        <v>66.333333333333329</v>
      </c>
      <c r="L5" s="6">
        <f t="shared" si="1"/>
        <v>8.8318742706156805E-2</v>
      </c>
      <c r="M5" s="5">
        <f t="shared" si="2"/>
        <v>-0.12795467814004899</v>
      </c>
      <c r="N5" s="11">
        <f t="shared" ca="1" si="3"/>
        <v>46029.772992129627</v>
      </c>
    </row>
    <row r="6" spans="1:14" x14ac:dyDescent="0.3">
      <c r="A6" s="1">
        <v>5</v>
      </c>
      <c r="B6" s="1" t="s">
        <v>14</v>
      </c>
      <c r="C6" s="1">
        <f t="shared" si="0"/>
        <v>6</v>
      </c>
      <c r="D6" s="1">
        <v>17</v>
      </c>
      <c r="E6" s="1" t="s">
        <v>12</v>
      </c>
      <c r="F6" s="1">
        <v>5</v>
      </c>
      <c r="G6" s="1">
        <v>96</v>
      </c>
      <c r="H6" s="1">
        <v>53</v>
      </c>
      <c r="I6" s="1">
        <v>62</v>
      </c>
      <c r="J6" s="1">
        <v>68</v>
      </c>
      <c r="K6" s="5">
        <f>AVERAGE(H6:J6)</f>
        <v>61</v>
      </c>
      <c r="L6" s="6">
        <f t="shared" si="1"/>
        <v>8.325117074973741E-2</v>
      </c>
      <c r="M6" s="5">
        <f t="shared" si="2"/>
        <v>-0.11337520404813378</v>
      </c>
      <c r="N6" s="11">
        <f t="shared" ca="1" si="3"/>
        <v>46029.772992129627</v>
      </c>
    </row>
    <row r="7" spans="1:14" x14ac:dyDescent="0.3">
      <c r="A7" s="1">
        <v>6</v>
      </c>
      <c r="B7" s="1" t="s">
        <v>15</v>
      </c>
      <c r="C7" s="1">
        <f t="shared" si="0"/>
        <v>6</v>
      </c>
      <c r="D7" s="1">
        <v>18</v>
      </c>
      <c r="E7" s="1" t="s">
        <v>12</v>
      </c>
      <c r="F7" s="1">
        <v>7</v>
      </c>
      <c r="G7" s="1">
        <v>91</v>
      </c>
      <c r="H7" s="1">
        <v>42</v>
      </c>
      <c r="I7" s="1">
        <v>90</v>
      </c>
      <c r="J7" s="1">
        <v>48</v>
      </c>
      <c r="K7" s="5">
        <f>AVERAGE(H7:J7)</f>
        <v>60</v>
      </c>
      <c r="L7" s="6">
        <f t="shared" si="1"/>
        <v>7.848911932942812E-2</v>
      </c>
      <c r="M7" s="5">
        <f t="shared" si="2"/>
        <v>-0.1170513549388684</v>
      </c>
      <c r="N7" s="11">
        <f t="shared" ca="1" si="3"/>
        <v>46029.772992129627</v>
      </c>
    </row>
    <row r="8" spans="1:14" x14ac:dyDescent="0.3">
      <c r="A8" s="1">
        <v>7</v>
      </c>
      <c r="B8" s="1" t="s">
        <v>9</v>
      </c>
      <c r="C8" s="1">
        <f t="shared" si="0"/>
        <v>4</v>
      </c>
      <c r="D8" s="1">
        <v>15</v>
      </c>
      <c r="E8" s="1" t="s">
        <v>12</v>
      </c>
      <c r="F8" s="1">
        <v>13</v>
      </c>
      <c r="G8" s="1">
        <v>68</v>
      </c>
      <c r="H8" s="1">
        <v>89</v>
      </c>
      <c r="I8" s="1">
        <v>80</v>
      </c>
      <c r="J8" s="1">
        <v>68</v>
      </c>
      <c r="K8" s="5">
        <f>AVERAGE(H8:J8)</f>
        <v>79</v>
      </c>
      <c r="L8" s="6">
        <f t="shared" si="1"/>
        <v>7.3245686440886235E-2</v>
      </c>
      <c r="M8" s="5">
        <f t="shared" si="2"/>
        <v>-0.11185636815357869</v>
      </c>
      <c r="N8" s="11">
        <f t="shared" ca="1" si="3"/>
        <v>46029.772992129627</v>
      </c>
    </row>
    <row r="9" spans="1:14" x14ac:dyDescent="0.3">
      <c r="A9" s="1">
        <v>8</v>
      </c>
      <c r="B9" s="1" t="s">
        <v>16</v>
      </c>
      <c r="C9" s="1">
        <f t="shared" si="0"/>
        <v>5</v>
      </c>
      <c r="D9" s="1">
        <v>15</v>
      </c>
      <c r="E9" s="1" t="s">
        <v>12</v>
      </c>
      <c r="F9" s="1">
        <v>15</v>
      </c>
      <c r="G9" s="1">
        <v>100</v>
      </c>
      <c r="H9" s="1">
        <v>36</v>
      </c>
      <c r="I9" s="1">
        <v>72</v>
      </c>
      <c r="J9" s="1">
        <v>96</v>
      </c>
      <c r="K9" s="5">
        <f>AVERAGE(H9:J9)</f>
        <v>68</v>
      </c>
      <c r="L9" s="6">
        <f t="shared" si="1"/>
        <v>6.8665546705811473E-2</v>
      </c>
      <c r="M9" s="5">
        <f t="shared" si="2"/>
        <v>-0.10972795927439026</v>
      </c>
      <c r="N9" s="11">
        <f t="shared" ca="1" si="3"/>
        <v>46029.772992129627</v>
      </c>
    </row>
    <row r="10" spans="1:14" x14ac:dyDescent="0.3">
      <c r="A10" s="1">
        <v>9</v>
      </c>
      <c r="B10" s="1" t="s">
        <v>17</v>
      </c>
      <c r="C10" s="1">
        <f t="shared" si="0"/>
        <v>6</v>
      </c>
      <c r="D10" s="1">
        <v>17</v>
      </c>
      <c r="E10" s="1" t="s">
        <v>12</v>
      </c>
      <c r="F10" s="1">
        <v>11</v>
      </c>
      <c r="G10" s="1">
        <v>94</v>
      </c>
      <c r="H10" s="1">
        <v>86</v>
      </c>
      <c r="I10" s="1">
        <v>41</v>
      </c>
      <c r="J10" s="1">
        <v>74</v>
      </c>
      <c r="K10" s="5">
        <f>AVERAGE(H10:J10)</f>
        <v>67</v>
      </c>
      <c r="L10" s="6">
        <f t="shared" si="1"/>
        <v>8.1696897366773102E-2</v>
      </c>
      <c r="M10" s="5">
        <f t="shared" si="2"/>
        <v>-0.14001718929265949</v>
      </c>
      <c r="N10" s="11">
        <f t="shared" ca="1" si="3"/>
        <v>46029.772992129627</v>
      </c>
    </row>
    <row r="11" spans="1:14" x14ac:dyDescent="0.3">
      <c r="A11" s="1">
        <v>10</v>
      </c>
      <c r="B11" s="1" t="s">
        <v>18</v>
      </c>
      <c r="C11" s="1">
        <f t="shared" si="0"/>
        <v>5</v>
      </c>
      <c r="D11" s="1">
        <v>16</v>
      </c>
      <c r="E11" s="1" t="s">
        <v>10</v>
      </c>
      <c r="F11" s="1">
        <v>4</v>
      </c>
      <c r="G11" s="1">
        <v>78</v>
      </c>
      <c r="H11" s="1">
        <v>65</v>
      </c>
      <c r="I11" s="1">
        <v>96</v>
      </c>
      <c r="J11" s="1">
        <v>42</v>
      </c>
      <c r="K11" s="5">
        <f>AVERAGE(H11:J11)</f>
        <v>67.666666666666671</v>
      </c>
      <c r="L11" s="6">
        <f t="shared" si="1"/>
        <v>8.052218160777877E-2</v>
      </c>
      <c r="M11" s="5">
        <f t="shared" si="2"/>
        <v>-0.14712224839418211</v>
      </c>
      <c r="N11" s="11">
        <f t="shared" ca="1" si="3"/>
        <v>46029.772992129627</v>
      </c>
    </row>
    <row r="12" spans="1:14" x14ac:dyDescent="0.3">
      <c r="A12" s="1">
        <v>11</v>
      </c>
      <c r="B12" s="1" t="s">
        <v>19</v>
      </c>
      <c r="C12" s="1">
        <f t="shared" si="0"/>
        <v>5</v>
      </c>
      <c r="D12" s="1">
        <v>17</v>
      </c>
      <c r="E12" s="1" t="s">
        <v>12</v>
      </c>
      <c r="F12" s="1">
        <v>13</v>
      </c>
      <c r="G12" s="1">
        <v>75</v>
      </c>
      <c r="H12" s="1">
        <v>74</v>
      </c>
      <c r="I12" s="1">
        <v>94</v>
      </c>
      <c r="J12" s="1">
        <v>87</v>
      </c>
      <c r="K12" s="5">
        <f>AVERAGE(H12:J12)</f>
        <v>85</v>
      </c>
      <c r="L12" s="6">
        <f t="shared" si="1"/>
        <v>8.008375380539022E-2</v>
      </c>
      <c r="M12" s="5">
        <f t="shared" si="2"/>
        <v>-0.15298823200582656</v>
      </c>
      <c r="N12" s="11">
        <f t="shared" ca="1" si="3"/>
        <v>46029.772992129627</v>
      </c>
    </row>
    <row r="13" spans="1:14" x14ac:dyDescent="0.3">
      <c r="A13" s="1">
        <v>12</v>
      </c>
      <c r="B13" s="1" t="s">
        <v>20</v>
      </c>
      <c r="C13" s="1">
        <f t="shared" si="0"/>
        <v>4</v>
      </c>
      <c r="D13" s="1">
        <v>17</v>
      </c>
      <c r="E13" s="1" t="s">
        <v>10</v>
      </c>
      <c r="F13" s="1">
        <v>7</v>
      </c>
      <c r="G13" s="1">
        <v>62</v>
      </c>
      <c r="H13" s="1">
        <v>49</v>
      </c>
      <c r="I13" s="1">
        <v>62</v>
      </c>
      <c r="J13" s="1">
        <v>49</v>
      </c>
      <c r="K13" s="5">
        <f>AVERAGE(H13:J13)</f>
        <v>53.333333333333336</v>
      </c>
      <c r="L13" s="6">
        <f t="shared" si="1"/>
        <v>7.8519134236052543E-2</v>
      </c>
      <c r="M13" s="5">
        <f t="shared" si="2"/>
        <v>-0.14539418672750848</v>
      </c>
      <c r="N13" s="11">
        <f t="shared" ca="1" si="3"/>
        <v>46029.772992129627</v>
      </c>
    </row>
    <row r="14" spans="1:14" x14ac:dyDescent="0.3">
      <c r="A14" s="1">
        <v>13</v>
      </c>
      <c r="B14" s="1" t="s">
        <v>11</v>
      </c>
      <c r="C14" s="1">
        <f t="shared" si="0"/>
        <v>5</v>
      </c>
      <c r="D14" s="1">
        <v>17</v>
      </c>
      <c r="E14" s="1" t="s">
        <v>12</v>
      </c>
      <c r="F14" s="1">
        <v>19</v>
      </c>
      <c r="G14" s="1">
        <v>79</v>
      </c>
      <c r="H14" s="1">
        <v>94</v>
      </c>
      <c r="I14" s="1">
        <v>69</v>
      </c>
      <c r="J14" s="1">
        <v>90</v>
      </c>
      <c r="K14" s="5">
        <f>AVERAGE(H14:J14)</f>
        <v>84.333333333333329</v>
      </c>
      <c r="L14" s="6">
        <f t="shared" si="1"/>
        <v>7.4570177535757093E-2</v>
      </c>
      <c r="M14" s="5">
        <f t="shared" si="2"/>
        <v>-0.16357717816346357</v>
      </c>
      <c r="N14" s="11">
        <f t="shared" ca="1" si="3"/>
        <v>46029.772992129627</v>
      </c>
    </row>
    <row r="15" spans="1:14" x14ac:dyDescent="0.3">
      <c r="A15" s="1">
        <v>14</v>
      </c>
      <c r="B15" s="1" t="s">
        <v>17</v>
      </c>
      <c r="C15" s="1">
        <f t="shared" si="0"/>
        <v>6</v>
      </c>
      <c r="D15" s="1">
        <v>17</v>
      </c>
      <c r="E15" s="1" t="s">
        <v>12</v>
      </c>
      <c r="F15" s="1">
        <v>2</v>
      </c>
      <c r="G15" s="1">
        <v>83</v>
      </c>
      <c r="H15" s="1">
        <v>37</v>
      </c>
      <c r="I15" s="1">
        <v>72</v>
      </c>
      <c r="J15" s="1">
        <v>68</v>
      </c>
      <c r="K15" s="5">
        <f>AVERAGE(H15:J15)</f>
        <v>59</v>
      </c>
      <c r="L15" s="6">
        <f t="shared" si="1"/>
        <v>5.6062245339685055E-2</v>
      </c>
      <c r="M15" s="5">
        <f t="shared" si="2"/>
        <v>-0.15978137076361798</v>
      </c>
      <c r="N15" s="11">
        <f t="shared" ca="1" si="3"/>
        <v>46029.772992129627</v>
      </c>
    </row>
    <row r="16" spans="1:14" x14ac:dyDescent="0.3">
      <c r="A16" s="1">
        <v>15</v>
      </c>
      <c r="B16" s="1" t="s">
        <v>21</v>
      </c>
      <c r="C16" s="1">
        <f t="shared" si="0"/>
        <v>5</v>
      </c>
      <c r="D16" s="1">
        <v>18</v>
      </c>
      <c r="E16" s="1" t="s">
        <v>10</v>
      </c>
      <c r="F16" s="1">
        <v>10</v>
      </c>
      <c r="G16" s="1">
        <v>92</v>
      </c>
      <c r="H16" s="1">
        <v>45</v>
      </c>
      <c r="I16" s="1">
        <v>73</v>
      </c>
      <c r="J16" s="1">
        <v>30</v>
      </c>
      <c r="K16" s="5">
        <f>AVERAGE(H16:J16)</f>
        <v>49.333333333333336</v>
      </c>
      <c r="L16" s="6">
        <f t="shared" si="1"/>
        <v>3.7338626788846717E-2</v>
      </c>
      <c r="M16" s="5">
        <f t="shared" si="2"/>
        <v>-0.15982941459877684</v>
      </c>
      <c r="N16" s="11">
        <f t="shared" ca="1" si="3"/>
        <v>46029.772992129627</v>
      </c>
    </row>
    <row r="17" spans="1:14" x14ac:dyDescent="0.3">
      <c r="A17" s="1">
        <v>16</v>
      </c>
      <c r="B17" s="1" t="s">
        <v>14</v>
      </c>
      <c r="C17" s="1">
        <f t="shared" si="0"/>
        <v>6</v>
      </c>
      <c r="D17" s="1">
        <v>15</v>
      </c>
      <c r="E17" s="1" t="s">
        <v>12</v>
      </c>
      <c r="F17" s="1">
        <v>13</v>
      </c>
      <c r="G17" s="1">
        <v>83</v>
      </c>
      <c r="H17" s="1">
        <v>43</v>
      </c>
      <c r="I17" s="1">
        <v>58</v>
      </c>
      <c r="J17" s="1">
        <v>32</v>
      </c>
      <c r="K17" s="5">
        <f>AVERAGE(H17:J17)</f>
        <v>44.333333333333336</v>
      </c>
      <c r="L17" s="6">
        <f t="shared" si="1"/>
        <v>3.7467142046456015E-2</v>
      </c>
      <c r="M17" s="5">
        <f t="shared" si="2"/>
        <v>-0.14744109120383103</v>
      </c>
      <c r="N17" s="11">
        <f t="shared" ca="1" si="3"/>
        <v>46029.772992129627</v>
      </c>
    </row>
    <row r="18" spans="1:14" x14ac:dyDescent="0.3">
      <c r="A18" s="1">
        <v>17</v>
      </c>
      <c r="B18" s="1" t="s">
        <v>22</v>
      </c>
      <c r="C18" s="1">
        <f t="shared" si="0"/>
        <v>5</v>
      </c>
      <c r="D18" s="1">
        <v>18</v>
      </c>
      <c r="E18" s="1" t="s">
        <v>10</v>
      </c>
      <c r="F18" s="1">
        <v>6</v>
      </c>
      <c r="G18" s="1">
        <v>70</v>
      </c>
      <c r="H18" s="1">
        <v>44</v>
      </c>
      <c r="I18" s="1">
        <v>42</v>
      </c>
      <c r="J18" s="1">
        <v>91</v>
      </c>
      <c r="K18" s="5">
        <f>AVERAGE(H18:J18)</f>
        <v>59</v>
      </c>
      <c r="L18" s="6">
        <f t="shared" si="1"/>
        <v>4.3893717724416019E-2</v>
      </c>
      <c r="M18" s="5">
        <f t="shared" si="2"/>
        <v>-0.14953774096722164</v>
      </c>
      <c r="N18" s="11">
        <f t="shared" ca="1" si="3"/>
        <v>46029.772992129627</v>
      </c>
    </row>
    <row r="19" spans="1:14" x14ac:dyDescent="0.3">
      <c r="A19" s="1">
        <v>18</v>
      </c>
      <c r="B19" s="1" t="s">
        <v>23</v>
      </c>
      <c r="C19" s="1">
        <f t="shared" si="0"/>
        <v>5</v>
      </c>
      <c r="D19" s="1">
        <v>18</v>
      </c>
      <c r="E19" s="1" t="s">
        <v>12</v>
      </c>
      <c r="F19" s="1">
        <v>12</v>
      </c>
      <c r="G19" s="1">
        <v>67</v>
      </c>
      <c r="H19" s="1">
        <v>95</v>
      </c>
      <c r="I19" s="1">
        <v>41</v>
      </c>
      <c r="J19" s="1">
        <v>92</v>
      </c>
      <c r="K19" s="5">
        <f>AVERAGE(H19:J19)</f>
        <v>76</v>
      </c>
      <c r="L19" s="6">
        <f t="shared" si="1"/>
        <v>3.6164035245228064E-2</v>
      </c>
      <c r="M19" s="5">
        <f t="shared" si="2"/>
        <v>-0.13289019570591987</v>
      </c>
      <c r="N19" s="11">
        <f t="shared" ca="1" si="3"/>
        <v>46029.772992129627</v>
      </c>
    </row>
    <row r="20" spans="1:14" x14ac:dyDescent="0.3">
      <c r="A20" s="1">
        <v>19</v>
      </c>
      <c r="B20" s="1" t="s">
        <v>11</v>
      </c>
      <c r="C20" s="1">
        <f t="shared" si="0"/>
        <v>5</v>
      </c>
      <c r="D20" s="1">
        <v>18</v>
      </c>
      <c r="E20" s="1" t="s">
        <v>12</v>
      </c>
      <c r="F20" s="1">
        <v>12</v>
      </c>
      <c r="G20" s="1">
        <v>95</v>
      </c>
      <c r="H20" s="1">
        <v>61</v>
      </c>
      <c r="I20" s="1">
        <v>75</v>
      </c>
      <c r="J20" s="1">
        <v>54</v>
      </c>
      <c r="K20" s="5">
        <f>AVERAGE(H20:J20)</f>
        <v>63.333333333333336</v>
      </c>
      <c r="L20" s="6">
        <f t="shared" si="1"/>
        <v>3.1920289503666613E-2</v>
      </c>
      <c r="M20" s="5">
        <f t="shared" si="2"/>
        <v>-0.11009272367270356</v>
      </c>
      <c r="N20" s="11">
        <f t="shared" ca="1" si="3"/>
        <v>46029.772992129627</v>
      </c>
    </row>
    <row r="21" spans="1:14" x14ac:dyDescent="0.3">
      <c r="A21" s="1">
        <v>20</v>
      </c>
      <c r="B21" s="1" t="s">
        <v>16</v>
      </c>
      <c r="C21" s="1">
        <f t="shared" si="0"/>
        <v>5</v>
      </c>
      <c r="D21" s="1">
        <v>17</v>
      </c>
      <c r="E21" s="1" t="s">
        <v>10</v>
      </c>
      <c r="F21" s="1">
        <v>20</v>
      </c>
      <c r="G21" s="1">
        <v>97</v>
      </c>
      <c r="H21" s="1">
        <v>92</v>
      </c>
      <c r="I21" s="1">
        <v>31</v>
      </c>
      <c r="J21" s="1">
        <v>85</v>
      </c>
      <c r="K21" s="5">
        <f>AVERAGE(H21:J21)</f>
        <v>69.333333333333329</v>
      </c>
      <c r="L21" s="6">
        <f t="shared" si="1"/>
        <v>3.3059800972701531E-2</v>
      </c>
      <c r="M21" s="5">
        <f t="shared" si="2"/>
        <v>-0.10515056337845073</v>
      </c>
      <c r="N21" s="11">
        <f t="shared" ca="1" si="3"/>
        <v>46029.772992129627</v>
      </c>
    </row>
    <row r="22" spans="1:14" x14ac:dyDescent="0.3">
      <c r="A22" s="1">
        <v>21</v>
      </c>
      <c r="B22" s="1" t="s">
        <v>21</v>
      </c>
      <c r="C22" s="1">
        <f t="shared" si="0"/>
        <v>5</v>
      </c>
      <c r="D22" s="1">
        <v>16</v>
      </c>
      <c r="E22" s="1" t="s">
        <v>12</v>
      </c>
      <c r="F22" s="1">
        <v>11</v>
      </c>
      <c r="G22" s="1">
        <v>99</v>
      </c>
      <c r="H22" s="1">
        <v>80</v>
      </c>
      <c r="I22" s="1">
        <v>64</v>
      </c>
      <c r="J22" s="1">
        <v>62</v>
      </c>
      <c r="K22" s="5">
        <f>AVERAGE(H22:J22)</f>
        <v>68.666666666666671</v>
      </c>
      <c r="L22" s="6">
        <f t="shared" si="1"/>
        <v>1.1990627293689774E-2</v>
      </c>
      <c r="M22" s="5">
        <f t="shared" si="2"/>
        <v>-0.12478767322680709</v>
      </c>
      <c r="N22" s="11">
        <f t="shared" ca="1" si="3"/>
        <v>46029.772992129627</v>
      </c>
    </row>
    <row r="23" spans="1:14" x14ac:dyDescent="0.3">
      <c r="A23" s="1">
        <v>22</v>
      </c>
      <c r="B23" s="1" t="s">
        <v>16</v>
      </c>
      <c r="C23" s="1">
        <f t="shared" si="0"/>
        <v>5</v>
      </c>
      <c r="D23" s="1">
        <v>15</v>
      </c>
      <c r="E23" s="1" t="s">
        <v>10</v>
      </c>
      <c r="F23" s="1">
        <v>7</v>
      </c>
      <c r="G23" s="1">
        <v>79</v>
      </c>
      <c r="H23" s="1">
        <v>54</v>
      </c>
      <c r="I23" s="1">
        <v>37</v>
      </c>
      <c r="J23" s="1">
        <v>67</v>
      </c>
      <c r="K23" s="5">
        <f>AVERAGE(H23:J23)</f>
        <v>52.666666666666664</v>
      </c>
      <c r="L23" s="6">
        <f t="shared" si="1"/>
        <v>1.0742978393556228E-2</v>
      </c>
      <c r="M23" s="5">
        <f t="shared" si="2"/>
        <v>-0.12590203962020441</v>
      </c>
      <c r="N23" s="11">
        <f t="shared" ca="1" si="3"/>
        <v>46029.772992129627</v>
      </c>
    </row>
    <row r="24" spans="1:14" x14ac:dyDescent="0.3">
      <c r="A24" s="1">
        <v>23</v>
      </c>
      <c r="B24" s="1" t="s">
        <v>19</v>
      </c>
      <c r="C24" s="1">
        <f t="shared" si="0"/>
        <v>5</v>
      </c>
      <c r="D24" s="1">
        <v>16</v>
      </c>
      <c r="E24" s="1" t="s">
        <v>12</v>
      </c>
      <c r="F24" s="1">
        <v>1</v>
      </c>
      <c r="G24" s="1">
        <v>94</v>
      </c>
      <c r="H24" s="1">
        <v>87</v>
      </c>
      <c r="I24" s="1">
        <v>55</v>
      </c>
      <c r="J24" s="1">
        <v>35</v>
      </c>
      <c r="K24" s="5">
        <f>AVERAGE(H24:J24)</f>
        <v>59</v>
      </c>
      <c r="L24" s="6">
        <f t="shared" si="1"/>
        <v>7.4120665611011874E-3</v>
      </c>
      <c r="M24" s="5">
        <f t="shared" si="2"/>
        <v>-0.12505541961648906</v>
      </c>
      <c r="N24" s="11">
        <f t="shared" ca="1" si="3"/>
        <v>46029.772992129627</v>
      </c>
    </row>
    <row r="25" spans="1:14" x14ac:dyDescent="0.3">
      <c r="A25" s="1">
        <v>24</v>
      </c>
      <c r="B25" s="1" t="s">
        <v>14</v>
      </c>
      <c r="C25" s="1">
        <f t="shared" si="0"/>
        <v>6</v>
      </c>
      <c r="D25" s="1">
        <v>18</v>
      </c>
      <c r="E25" s="1" t="s">
        <v>10</v>
      </c>
      <c r="F25" s="1">
        <v>1</v>
      </c>
      <c r="G25" s="1">
        <v>84</v>
      </c>
      <c r="H25" s="1">
        <v>92</v>
      </c>
      <c r="I25" s="1">
        <v>63</v>
      </c>
      <c r="J25" s="1">
        <v>87</v>
      </c>
      <c r="K25" s="5">
        <f>AVERAGE(H25:J25)</f>
        <v>80.666666666666671</v>
      </c>
      <c r="L25" s="6">
        <f t="shared" si="1"/>
        <v>2.3664743269345791E-2</v>
      </c>
      <c r="M25" s="5">
        <f t="shared" si="2"/>
        <v>-0.10904054050244202</v>
      </c>
      <c r="N25" s="11">
        <f t="shared" ca="1" si="3"/>
        <v>46029.772992129627</v>
      </c>
    </row>
    <row r="26" spans="1:14" x14ac:dyDescent="0.3">
      <c r="A26" s="1">
        <v>25</v>
      </c>
      <c r="B26" s="1" t="s">
        <v>24</v>
      </c>
      <c r="C26" s="1">
        <f t="shared" si="0"/>
        <v>6</v>
      </c>
      <c r="D26" s="1">
        <v>18</v>
      </c>
      <c r="E26" s="1" t="s">
        <v>10</v>
      </c>
      <c r="F26" s="1">
        <v>20</v>
      </c>
      <c r="G26" s="1">
        <v>94</v>
      </c>
      <c r="H26" s="1">
        <v>91</v>
      </c>
      <c r="I26" s="1">
        <v>36</v>
      </c>
      <c r="J26" s="1">
        <v>73</v>
      </c>
      <c r="K26" s="5">
        <f>AVERAGE(H26:J26)</f>
        <v>66.666666666666671</v>
      </c>
      <c r="L26" s="6">
        <f t="shared" si="1"/>
        <v>4.5307628934604931E-2</v>
      </c>
      <c r="M26" s="5">
        <f t="shared" si="2"/>
        <v>-0.1120635869804112</v>
      </c>
      <c r="N26" s="11">
        <f t="shared" ca="1" si="3"/>
        <v>46029.772992129627</v>
      </c>
    </row>
    <row r="27" spans="1:14" x14ac:dyDescent="0.3">
      <c r="A27" s="1">
        <v>26</v>
      </c>
      <c r="B27" s="1" t="s">
        <v>18</v>
      </c>
      <c r="C27" s="1">
        <f t="shared" si="0"/>
        <v>5</v>
      </c>
      <c r="D27" s="1">
        <v>16</v>
      </c>
      <c r="E27" s="1" t="s">
        <v>12</v>
      </c>
      <c r="F27" s="1">
        <v>13</v>
      </c>
      <c r="G27" s="1">
        <v>84</v>
      </c>
      <c r="H27" s="1">
        <v>51</v>
      </c>
      <c r="I27" s="1">
        <v>97</v>
      </c>
      <c r="J27" s="1">
        <v>74</v>
      </c>
      <c r="K27" s="5">
        <f>AVERAGE(H27:J27)</f>
        <v>74</v>
      </c>
      <c r="L27" s="6">
        <f t="shared" si="1"/>
        <v>2.3411152841280345E-2</v>
      </c>
      <c r="M27" s="5">
        <f t="shared" si="2"/>
        <v>-0.12027468683827704</v>
      </c>
      <c r="N27" s="11">
        <f t="shared" ca="1" si="3"/>
        <v>46029.772992129627</v>
      </c>
    </row>
    <row r="28" spans="1:14" x14ac:dyDescent="0.3">
      <c r="A28" s="1">
        <v>27</v>
      </c>
      <c r="B28" s="1" t="s">
        <v>13</v>
      </c>
      <c r="C28" s="1">
        <f t="shared" si="0"/>
        <v>3</v>
      </c>
      <c r="D28" s="1">
        <v>16</v>
      </c>
      <c r="E28" s="1" t="s">
        <v>12</v>
      </c>
      <c r="F28" s="1">
        <v>9</v>
      </c>
      <c r="G28" s="1">
        <v>88</v>
      </c>
      <c r="H28" s="1">
        <v>87</v>
      </c>
      <c r="I28" s="1">
        <v>87</v>
      </c>
      <c r="J28" s="1">
        <v>61</v>
      </c>
      <c r="K28" s="5">
        <f>AVERAGE(H28:J28)</f>
        <v>78.333333333333329</v>
      </c>
      <c r="L28" s="6">
        <f t="shared" si="1"/>
        <v>2.7918825289581058E-2</v>
      </c>
      <c r="M28" s="5">
        <f t="shared" si="2"/>
        <v>-0.12162383279962893</v>
      </c>
      <c r="N28" s="11">
        <f t="shared" ca="1" si="3"/>
        <v>46029.772992129627</v>
      </c>
    </row>
    <row r="29" spans="1:14" x14ac:dyDescent="0.3">
      <c r="A29" s="1">
        <v>28</v>
      </c>
      <c r="B29" s="1" t="s">
        <v>11</v>
      </c>
      <c r="C29" s="1">
        <f t="shared" si="0"/>
        <v>5</v>
      </c>
      <c r="D29" s="1">
        <v>16</v>
      </c>
      <c r="E29" s="1" t="s">
        <v>10</v>
      </c>
      <c r="F29" s="1">
        <v>3</v>
      </c>
      <c r="G29" s="1">
        <v>77</v>
      </c>
      <c r="H29" s="1">
        <v>87</v>
      </c>
      <c r="I29" s="1">
        <v>58</v>
      </c>
      <c r="J29" s="1">
        <v>74</v>
      </c>
      <c r="K29" s="5">
        <f>AVERAGE(H29:J29)</f>
        <v>73</v>
      </c>
      <c r="L29" s="6">
        <f t="shared" si="1"/>
        <v>3.0014778263159441E-2</v>
      </c>
      <c r="M29" s="5">
        <f t="shared" si="2"/>
        <v>-0.12139548796724337</v>
      </c>
      <c r="N29" s="11">
        <f t="shared" ca="1" si="3"/>
        <v>46029.772992129627</v>
      </c>
    </row>
    <row r="30" spans="1:14" x14ac:dyDescent="0.3">
      <c r="A30" s="1">
        <v>29</v>
      </c>
      <c r="B30" s="1" t="s">
        <v>25</v>
      </c>
      <c r="C30" s="1">
        <f t="shared" si="0"/>
        <v>5</v>
      </c>
      <c r="D30" s="1">
        <v>18</v>
      </c>
      <c r="E30" s="1" t="s">
        <v>12</v>
      </c>
      <c r="F30" s="1">
        <v>7</v>
      </c>
      <c r="G30" s="1">
        <v>77</v>
      </c>
      <c r="H30" s="1">
        <v>78</v>
      </c>
      <c r="I30" s="1">
        <v>65</v>
      </c>
      <c r="J30" s="1">
        <v>90</v>
      </c>
      <c r="K30" s="5">
        <f>AVERAGE(H30:J30)</f>
        <v>77.666666666666671</v>
      </c>
      <c r="L30" s="6">
        <f t="shared" si="1"/>
        <v>4.4713075904638952E-2</v>
      </c>
      <c r="M30" s="5">
        <f t="shared" si="2"/>
        <v>-0.11796857651955608</v>
      </c>
      <c r="N30" s="11">
        <f t="shared" ca="1" si="3"/>
        <v>46029.772992129627</v>
      </c>
    </row>
    <row r="31" spans="1:14" x14ac:dyDescent="0.3">
      <c r="A31" s="1">
        <v>30</v>
      </c>
      <c r="B31" s="1" t="s">
        <v>19</v>
      </c>
      <c r="C31" s="1">
        <f t="shared" si="0"/>
        <v>5</v>
      </c>
      <c r="D31" s="1">
        <v>18</v>
      </c>
      <c r="E31" s="1" t="s">
        <v>12</v>
      </c>
      <c r="F31" s="1">
        <v>6</v>
      </c>
      <c r="G31" s="1">
        <v>61</v>
      </c>
      <c r="H31" s="1">
        <v>81</v>
      </c>
      <c r="I31" s="1">
        <v>50</v>
      </c>
      <c r="J31" s="1">
        <v>76</v>
      </c>
      <c r="K31" s="5">
        <f>AVERAGE(H31:J31)</f>
        <v>69</v>
      </c>
      <c r="L31" s="6">
        <f t="shared" si="1"/>
        <v>4.8551081001365903E-2</v>
      </c>
      <c r="M31" s="5">
        <f t="shared" si="2"/>
        <v>-0.1102135362253459</v>
      </c>
      <c r="N31" s="11">
        <f t="shared" ca="1" si="3"/>
        <v>46029.772992129627</v>
      </c>
    </row>
    <row r="32" spans="1:14" x14ac:dyDescent="0.3">
      <c r="A32" s="1">
        <v>31</v>
      </c>
      <c r="B32" s="1" t="s">
        <v>26</v>
      </c>
      <c r="C32" s="1">
        <f t="shared" si="0"/>
        <v>7</v>
      </c>
      <c r="D32" s="1">
        <v>15</v>
      </c>
      <c r="E32" s="1" t="s">
        <v>12</v>
      </c>
      <c r="F32" s="1">
        <v>8</v>
      </c>
      <c r="G32" s="1">
        <v>94</v>
      </c>
      <c r="H32" s="1">
        <v>71</v>
      </c>
      <c r="I32" s="1">
        <v>65</v>
      </c>
      <c r="J32" s="1">
        <v>50</v>
      </c>
      <c r="K32" s="5">
        <f>AVERAGE(H32:J32)</f>
        <v>62</v>
      </c>
      <c r="L32" s="6">
        <f t="shared" si="1"/>
        <v>5.5103057865281857E-2</v>
      </c>
      <c r="M32" s="5">
        <f t="shared" si="2"/>
        <v>-9.3658964678892495E-2</v>
      </c>
      <c r="N32" s="11">
        <f t="shared" ca="1" si="3"/>
        <v>46029.772992129627</v>
      </c>
    </row>
    <row r="33" spans="1:19" x14ac:dyDescent="0.3">
      <c r="A33" s="1">
        <v>32</v>
      </c>
      <c r="B33" s="1" t="s">
        <v>13</v>
      </c>
      <c r="C33" s="1">
        <f t="shared" si="0"/>
        <v>3</v>
      </c>
      <c r="D33" s="1">
        <v>15</v>
      </c>
      <c r="E33" s="1" t="s">
        <v>10</v>
      </c>
      <c r="F33" s="1">
        <v>9</v>
      </c>
      <c r="G33" s="1">
        <v>75</v>
      </c>
      <c r="H33" s="1">
        <v>99</v>
      </c>
      <c r="I33" s="1">
        <v>39</v>
      </c>
      <c r="J33" s="1">
        <v>65</v>
      </c>
      <c r="K33" s="5">
        <f>AVERAGE(H33:J33)</f>
        <v>67.666666666666671</v>
      </c>
      <c r="L33" s="6">
        <f t="shared" si="1"/>
        <v>5.6361398880843468E-2</v>
      </c>
      <c r="M33" s="5">
        <f t="shared" si="2"/>
        <v>-8.6208867087065683E-2</v>
      </c>
      <c r="N33" s="11">
        <f t="shared" ca="1" si="3"/>
        <v>46029.772992129627</v>
      </c>
    </row>
    <row r="34" spans="1:19" x14ac:dyDescent="0.3">
      <c r="A34" s="1">
        <v>33</v>
      </c>
      <c r="B34" s="1" t="s">
        <v>15</v>
      </c>
      <c r="C34" s="1">
        <f t="shared" ref="C34:C65" si="4">LEN(B34)</f>
        <v>6</v>
      </c>
      <c r="D34" s="1">
        <v>18</v>
      </c>
      <c r="E34" s="1" t="s">
        <v>10</v>
      </c>
      <c r="F34" s="1">
        <v>5</v>
      </c>
      <c r="G34" s="1">
        <v>100</v>
      </c>
      <c r="H34" s="1">
        <v>44</v>
      </c>
      <c r="I34" s="1">
        <v>53</v>
      </c>
      <c r="J34" s="1">
        <v>48</v>
      </c>
      <c r="K34" s="5">
        <f>AVERAGE(H34:J34)</f>
        <v>48.333333333333336</v>
      </c>
      <c r="L34" s="6">
        <f t="shared" si="1"/>
        <v>6.1433143559076711E-2</v>
      </c>
      <c r="M34" s="5">
        <f t="shared" si="2"/>
        <v>-8.4854809104972909E-2</v>
      </c>
      <c r="N34" s="11">
        <f t="shared" ca="1" si="3"/>
        <v>46029.772992129627</v>
      </c>
    </row>
    <row r="35" spans="1:19" x14ac:dyDescent="0.3">
      <c r="A35" s="1">
        <v>34</v>
      </c>
      <c r="B35" s="1" t="s">
        <v>21</v>
      </c>
      <c r="C35" s="1">
        <f t="shared" si="4"/>
        <v>5</v>
      </c>
      <c r="D35" s="1">
        <v>16</v>
      </c>
      <c r="E35" s="1" t="s">
        <v>10</v>
      </c>
      <c r="F35" s="1">
        <v>1</v>
      </c>
      <c r="G35" s="1">
        <v>95</v>
      </c>
      <c r="H35" s="1">
        <v>83</v>
      </c>
      <c r="I35" s="1">
        <v>93</v>
      </c>
      <c r="J35" s="1">
        <v>49</v>
      </c>
      <c r="K35" s="5">
        <f>AVERAGE(H35:J35)</f>
        <v>75</v>
      </c>
      <c r="L35" s="6">
        <f t="shared" si="1"/>
        <v>5.0902829926682595E-2</v>
      </c>
      <c r="M35" s="5">
        <f t="shared" si="2"/>
        <v>-7.1001627399227607E-2</v>
      </c>
      <c r="N35" s="11">
        <f t="shared" ca="1" si="3"/>
        <v>46029.772992129627</v>
      </c>
    </row>
    <row r="36" spans="1:19" x14ac:dyDescent="0.3">
      <c r="A36" s="1">
        <v>35</v>
      </c>
      <c r="B36" s="1" t="s">
        <v>26</v>
      </c>
      <c r="C36" s="1">
        <f t="shared" si="4"/>
        <v>7</v>
      </c>
      <c r="D36" s="1">
        <v>16</v>
      </c>
      <c r="E36" s="1" t="s">
        <v>10</v>
      </c>
      <c r="F36" s="1">
        <v>19</v>
      </c>
      <c r="G36" s="1">
        <v>92</v>
      </c>
      <c r="H36" s="1">
        <v>89</v>
      </c>
      <c r="I36" s="1">
        <v>78</v>
      </c>
      <c r="J36" s="1">
        <v>86</v>
      </c>
      <c r="K36" s="5">
        <f>AVERAGE(H36:J36)</f>
        <v>84.333333333333329</v>
      </c>
      <c r="L36" s="6">
        <f t="shared" si="1"/>
        <v>6.918897763174818E-2</v>
      </c>
      <c r="M36" s="5">
        <f t="shared" si="2"/>
        <v>-6.1087480044489925E-2</v>
      </c>
      <c r="N36" s="11">
        <f t="shared" ca="1" si="3"/>
        <v>46029.772992129627</v>
      </c>
    </row>
    <row r="37" spans="1:19" x14ac:dyDescent="0.3">
      <c r="A37" s="1">
        <v>36</v>
      </c>
      <c r="B37" s="1" t="s">
        <v>9</v>
      </c>
      <c r="C37" s="1">
        <f t="shared" si="4"/>
        <v>4</v>
      </c>
      <c r="D37" s="1">
        <v>15</v>
      </c>
      <c r="E37" s="1" t="s">
        <v>10</v>
      </c>
      <c r="F37" s="1">
        <v>10</v>
      </c>
      <c r="G37" s="1">
        <v>63</v>
      </c>
      <c r="H37" s="1">
        <v>37</v>
      </c>
      <c r="I37" s="1">
        <v>65</v>
      </c>
      <c r="J37" s="1">
        <v>47</v>
      </c>
      <c r="K37" s="5">
        <f>AVERAGE(H37:J37)</f>
        <v>49.666666666666664</v>
      </c>
      <c r="L37" s="6">
        <f t="shared" si="1"/>
        <v>4.8863540719513848E-2</v>
      </c>
      <c r="M37" s="5">
        <f t="shared" si="2"/>
        <v>-7.7960959658562562E-2</v>
      </c>
      <c r="N37" s="11">
        <f t="shared" ca="1" si="3"/>
        <v>46029.772992129627</v>
      </c>
    </row>
    <row r="38" spans="1:19" x14ac:dyDescent="0.3">
      <c r="A38" s="1">
        <v>37</v>
      </c>
      <c r="B38" s="1" t="s">
        <v>17</v>
      </c>
      <c r="C38" s="1">
        <f t="shared" si="4"/>
        <v>6</v>
      </c>
      <c r="D38" s="1">
        <v>18</v>
      </c>
      <c r="E38" s="1" t="s">
        <v>10</v>
      </c>
      <c r="F38" s="1">
        <v>12</v>
      </c>
      <c r="G38" s="1">
        <v>92</v>
      </c>
      <c r="H38" s="1">
        <v>82</v>
      </c>
      <c r="I38" s="1">
        <v>53</v>
      </c>
      <c r="J38" s="1">
        <v>76</v>
      </c>
      <c r="K38" s="5">
        <f>AVERAGE(H38:J38)</f>
        <v>70.333333333333329</v>
      </c>
      <c r="L38" s="6">
        <f t="shared" si="1"/>
        <v>4.8461537827473505E-2</v>
      </c>
      <c r="M38" s="5">
        <f t="shared" si="2"/>
        <v>-0.10014088749732962</v>
      </c>
      <c r="N38" s="11">
        <f t="shared" ca="1" si="3"/>
        <v>46029.772992129627</v>
      </c>
    </row>
    <row r="39" spans="1:19" x14ac:dyDescent="0.3">
      <c r="A39" s="1">
        <v>38</v>
      </c>
      <c r="B39" s="1" t="s">
        <v>27</v>
      </c>
      <c r="C39" s="1">
        <f t="shared" si="4"/>
        <v>5</v>
      </c>
      <c r="D39" s="1">
        <v>15</v>
      </c>
      <c r="E39" s="1" t="s">
        <v>10</v>
      </c>
      <c r="F39" s="1">
        <v>15</v>
      </c>
      <c r="G39" s="1">
        <v>73</v>
      </c>
      <c r="H39" s="1">
        <v>89</v>
      </c>
      <c r="I39" s="1">
        <v>52</v>
      </c>
      <c r="J39" s="1">
        <v>78</v>
      </c>
      <c r="K39" s="5">
        <f>AVERAGE(H39:J39)</f>
        <v>73</v>
      </c>
      <c r="L39" s="6">
        <f t="shared" si="1"/>
        <v>4.563877024535655E-2</v>
      </c>
      <c r="M39" s="5">
        <f t="shared" si="2"/>
        <v>-0.11065520095695477</v>
      </c>
      <c r="N39" s="11">
        <f t="shared" ca="1" si="3"/>
        <v>46029.772992129627</v>
      </c>
    </row>
    <row r="40" spans="1:19" x14ac:dyDescent="0.3">
      <c r="A40" s="1">
        <v>39</v>
      </c>
      <c r="B40" s="1" t="s">
        <v>9</v>
      </c>
      <c r="C40" s="1">
        <f t="shared" si="4"/>
        <v>4</v>
      </c>
      <c r="D40" s="1">
        <v>15</v>
      </c>
      <c r="E40" s="1" t="s">
        <v>10</v>
      </c>
      <c r="F40" s="1">
        <v>9</v>
      </c>
      <c r="G40" s="1">
        <v>80</v>
      </c>
      <c r="H40" s="1">
        <v>34</v>
      </c>
      <c r="I40" s="1">
        <v>91</v>
      </c>
      <c r="J40" s="1">
        <v>43</v>
      </c>
      <c r="K40" s="5">
        <f>AVERAGE(H40:J40)</f>
        <v>56</v>
      </c>
      <c r="L40" s="6">
        <f t="shared" si="1"/>
        <v>3.3744841599001346E-2</v>
      </c>
      <c r="M40" s="5">
        <f t="shared" si="2"/>
        <v>-0.10080201089816061</v>
      </c>
      <c r="N40" s="11">
        <f t="shared" ca="1" si="3"/>
        <v>46029.772992129627</v>
      </c>
    </row>
    <row r="41" spans="1:19" x14ac:dyDescent="0.3">
      <c r="A41" s="1">
        <v>40</v>
      </c>
      <c r="B41" s="1" t="s">
        <v>28</v>
      </c>
      <c r="C41" s="1">
        <f t="shared" si="4"/>
        <v>5</v>
      </c>
      <c r="D41" s="1">
        <v>17</v>
      </c>
      <c r="E41" s="1" t="s">
        <v>10</v>
      </c>
      <c r="F41" s="1">
        <v>20</v>
      </c>
      <c r="G41" s="1">
        <v>79</v>
      </c>
      <c r="H41" s="1">
        <v>97</v>
      </c>
      <c r="I41" s="1">
        <v>66</v>
      </c>
      <c r="J41" s="1">
        <v>44</v>
      </c>
      <c r="K41" s="5">
        <f>AVERAGE(H41:J41)</f>
        <v>69</v>
      </c>
      <c r="L41" s="6">
        <f t="shared" si="1"/>
        <v>3.0085380444150548E-2</v>
      </c>
      <c r="M41" s="5">
        <f t="shared" si="2"/>
        <v>-0.10492573285021249</v>
      </c>
      <c r="N41" s="11">
        <f t="shared" ca="1" si="3"/>
        <v>46029.772992129627</v>
      </c>
    </row>
    <row r="42" spans="1:19" x14ac:dyDescent="0.3">
      <c r="A42" s="1">
        <v>41</v>
      </c>
      <c r="B42" s="1" t="s">
        <v>28</v>
      </c>
      <c r="C42" s="1">
        <f t="shared" si="4"/>
        <v>5</v>
      </c>
      <c r="D42" s="1">
        <v>17</v>
      </c>
      <c r="E42" s="1" t="s">
        <v>12</v>
      </c>
      <c r="F42" s="1">
        <v>17</v>
      </c>
      <c r="G42" s="1">
        <v>67</v>
      </c>
      <c r="H42" s="1">
        <v>35</v>
      </c>
      <c r="I42" s="1">
        <v>41</v>
      </c>
      <c r="J42" s="1">
        <v>60</v>
      </c>
      <c r="K42" s="5">
        <f>AVERAGE(H42:J42)</f>
        <v>45.333333333333336</v>
      </c>
      <c r="L42" s="6">
        <f t="shared" si="1"/>
        <v>-5.1046283008595915E-3</v>
      </c>
      <c r="M42" s="5">
        <f t="shared" si="2"/>
        <v>-0.11033244201942055</v>
      </c>
      <c r="N42" s="11">
        <f t="shared" ca="1" si="3"/>
        <v>46029.772992129627</v>
      </c>
    </row>
    <row r="43" spans="1:19" x14ac:dyDescent="0.3">
      <c r="A43" s="1">
        <v>42</v>
      </c>
      <c r="B43" s="1" t="s">
        <v>23</v>
      </c>
      <c r="C43" s="1">
        <f t="shared" si="4"/>
        <v>5</v>
      </c>
      <c r="D43" s="1">
        <v>17</v>
      </c>
      <c r="E43" s="1" t="s">
        <v>10</v>
      </c>
      <c r="F43" s="1">
        <v>17</v>
      </c>
      <c r="G43" s="1">
        <v>66</v>
      </c>
      <c r="H43" s="1">
        <v>76</v>
      </c>
      <c r="I43" s="1">
        <v>84</v>
      </c>
      <c r="J43" s="1">
        <v>30</v>
      </c>
      <c r="K43" s="5">
        <f>AVERAGE(H43:J43)</f>
        <v>63.333333333333336</v>
      </c>
      <c r="L43" s="6">
        <f t="shared" si="1"/>
        <v>1.88917231914635E-2</v>
      </c>
      <c r="M43" s="5">
        <f t="shared" si="2"/>
        <v>-0.11456615804168062</v>
      </c>
      <c r="N43" s="11">
        <f t="shared" ca="1" si="3"/>
        <v>46029.772992129627</v>
      </c>
    </row>
    <row r="44" spans="1:19" x14ac:dyDescent="0.3">
      <c r="A44" s="1">
        <v>43</v>
      </c>
      <c r="B44" s="1" t="s">
        <v>13</v>
      </c>
      <c r="C44" s="1">
        <f t="shared" si="4"/>
        <v>3</v>
      </c>
      <c r="D44" s="1">
        <v>16</v>
      </c>
      <c r="E44" s="1" t="s">
        <v>12</v>
      </c>
      <c r="F44" s="1">
        <v>20</v>
      </c>
      <c r="G44" s="1">
        <v>62</v>
      </c>
      <c r="H44" s="1">
        <v>84</v>
      </c>
      <c r="I44" s="1">
        <v>42</v>
      </c>
      <c r="J44" s="1">
        <v>83</v>
      </c>
      <c r="K44" s="5">
        <f>AVERAGE(H44:J44)</f>
        <v>69.666666666666671</v>
      </c>
      <c r="L44" s="6">
        <f t="shared" si="1"/>
        <v>9.6965856912542385E-3</v>
      </c>
      <c r="M44" s="5">
        <f t="shared" si="2"/>
        <v>-0.16160260350836356</v>
      </c>
      <c r="N44" s="11">
        <f t="shared" ca="1" si="3"/>
        <v>46029.772992129627</v>
      </c>
    </row>
    <row r="45" spans="1:19" x14ac:dyDescent="0.3">
      <c r="A45" s="1">
        <v>44</v>
      </c>
      <c r="B45" s="1" t="s">
        <v>20</v>
      </c>
      <c r="C45" s="1">
        <f t="shared" si="4"/>
        <v>4</v>
      </c>
      <c r="D45" s="1">
        <v>18</v>
      </c>
      <c r="E45" s="1" t="s">
        <v>12</v>
      </c>
      <c r="F45" s="1">
        <v>12</v>
      </c>
      <c r="G45" s="1">
        <v>76</v>
      </c>
      <c r="H45" s="1">
        <v>69</v>
      </c>
      <c r="I45" s="1">
        <v>52</v>
      </c>
      <c r="J45" s="1">
        <v>32</v>
      </c>
      <c r="K45" s="5">
        <f>AVERAGE(H45:J45)</f>
        <v>51</v>
      </c>
      <c r="L45" s="6">
        <f t="shared" si="1"/>
        <v>-1.4340463836250912E-2</v>
      </c>
      <c r="M45" s="5">
        <f t="shared" si="2"/>
        <v>-0.13349693707842733</v>
      </c>
      <c r="N45" s="11">
        <f t="shared" ca="1" si="3"/>
        <v>46029.772992129627</v>
      </c>
    </row>
    <row r="46" spans="1:19" x14ac:dyDescent="0.3">
      <c r="A46" s="1">
        <v>45</v>
      </c>
      <c r="B46" s="1" t="s">
        <v>24</v>
      </c>
      <c r="C46" s="1">
        <f t="shared" si="4"/>
        <v>6</v>
      </c>
      <c r="D46" s="1">
        <v>18</v>
      </c>
      <c r="E46" s="1" t="s">
        <v>12</v>
      </c>
      <c r="F46" s="1">
        <v>7</v>
      </c>
      <c r="G46" s="1">
        <v>92</v>
      </c>
      <c r="H46" s="1">
        <v>81</v>
      </c>
      <c r="I46" s="1">
        <v>59</v>
      </c>
      <c r="J46" s="1">
        <v>45</v>
      </c>
      <c r="K46" s="5">
        <f>AVERAGE(H46:J46)</f>
        <v>61.666666666666664</v>
      </c>
      <c r="L46" s="6">
        <f t="shared" si="1"/>
        <v>-1.5720540488933961E-2</v>
      </c>
      <c r="M46" s="5">
        <f t="shared" si="2"/>
        <v>-0.15590100510016247</v>
      </c>
      <c r="N46" s="11">
        <f t="shared" ca="1" si="3"/>
        <v>46029.772992129627</v>
      </c>
    </row>
    <row r="47" spans="1:19" x14ac:dyDescent="0.3">
      <c r="A47" s="1">
        <v>46</v>
      </c>
      <c r="B47" s="1" t="s">
        <v>16</v>
      </c>
      <c r="C47" s="1">
        <f t="shared" si="4"/>
        <v>5</v>
      </c>
      <c r="D47" s="1">
        <v>18</v>
      </c>
      <c r="E47" s="1" t="s">
        <v>10</v>
      </c>
      <c r="F47" s="1">
        <v>2</v>
      </c>
      <c r="G47" s="1">
        <v>71</v>
      </c>
      <c r="H47" s="1">
        <v>45</v>
      </c>
      <c r="I47" s="1">
        <v>46</v>
      </c>
      <c r="J47" s="1">
        <v>86</v>
      </c>
      <c r="K47" s="5">
        <f>AVERAGE(H47:J47)</f>
        <v>59</v>
      </c>
      <c r="L47" s="6">
        <f t="shared" si="1"/>
        <v>-1.0341764991541935E-2</v>
      </c>
      <c r="M47" s="5">
        <f t="shared" si="2"/>
        <v>-0.14543307579748452</v>
      </c>
      <c r="N47" s="11">
        <f t="shared" ca="1" si="3"/>
        <v>46029.772992129627</v>
      </c>
    </row>
    <row r="48" spans="1:19" x14ac:dyDescent="0.3">
      <c r="A48" s="1">
        <v>47</v>
      </c>
      <c r="B48" s="1" t="s">
        <v>9</v>
      </c>
      <c r="C48" s="1">
        <f t="shared" si="4"/>
        <v>4</v>
      </c>
      <c r="D48" s="1">
        <v>18</v>
      </c>
      <c r="E48" s="1" t="s">
        <v>10</v>
      </c>
      <c r="F48" s="1">
        <v>3</v>
      </c>
      <c r="G48" s="1">
        <v>81</v>
      </c>
      <c r="H48" s="1">
        <v>42</v>
      </c>
      <c r="I48" s="1">
        <v>91</v>
      </c>
      <c r="J48" s="1">
        <v>41</v>
      </c>
      <c r="K48" s="5">
        <f>AVERAGE(H48:J48)</f>
        <v>58</v>
      </c>
      <c r="L48" s="6">
        <f t="shared" si="1"/>
        <v>-2.9027277228318684E-2</v>
      </c>
      <c r="M48" s="5">
        <f t="shared" si="2"/>
        <v>-0.12418220827966353</v>
      </c>
      <c r="N48" s="11">
        <f t="shared" ca="1" si="3"/>
        <v>46029.772992129627</v>
      </c>
      <c r="O48" s="9" t="s">
        <v>33</v>
      </c>
      <c r="P48" s="8"/>
      <c r="S48" t="s">
        <v>36</v>
      </c>
    </row>
    <row r="49" spans="1:19" x14ac:dyDescent="0.3">
      <c r="A49" s="1">
        <v>48</v>
      </c>
      <c r="B49" s="1" t="s">
        <v>27</v>
      </c>
      <c r="C49" s="1">
        <f t="shared" si="4"/>
        <v>5</v>
      </c>
      <c r="D49" s="1">
        <v>17</v>
      </c>
      <c r="E49" s="1" t="s">
        <v>10</v>
      </c>
      <c r="F49" s="1">
        <v>17</v>
      </c>
      <c r="G49" s="1">
        <v>81</v>
      </c>
      <c r="H49" s="1">
        <v>59</v>
      </c>
      <c r="I49" s="1">
        <v>42</v>
      </c>
      <c r="J49" s="1">
        <v>45</v>
      </c>
      <c r="K49" s="5">
        <f>AVERAGE(H49:J49)</f>
        <v>48.666666666666664</v>
      </c>
      <c r="L49" s="6">
        <f t="shared" si="1"/>
        <v>-4.9323888955984489E-2</v>
      </c>
      <c r="M49" s="5">
        <f t="shared" si="2"/>
        <v>-0.13096575765588345</v>
      </c>
      <c r="N49" s="11">
        <f t="shared" ca="1" si="3"/>
        <v>46029.772992129627</v>
      </c>
      <c r="O49" s="9" t="s">
        <v>34</v>
      </c>
      <c r="S49" t="s">
        <v>38</v>
      </c>
    </row>
    <row r="50" spans="1:19" x14ac:dyDescent="0.3">
      <c r="A50" s="1">
        <v>49</v>
      </c>
      <c r="B50" s="1" t="s">
        <v>17</v>
      </c>
      <c r="C50" s="1">
        <f t="shared" si="4"/>
        <v>6</v>
      </c>
      <c r="D50" s="1">
        <v>16</v>
      </c>
      <c r="E50" s="1" t="s">
        <v>10</v>
      </c>
      <c r="F50" s="1">
        <v>5</v>
      </c>
      <c r="G50" s="1">
        <v>89</v>
      </c>
      <c r="H50" s="1">
        <v>48</v>
      </c>
      <c r="I50" s="1">
        <v>88</v>
      </c>
      <c r="J50" s="1">
        <v>53</v>
      </c>
      <c r="K50" s="5">
        <f>AVERAGE(H50:J50)</f>
        <v>63</v>
      </c>
      <c r="L50" s="6">
        <f t="shared" si="1"/>
        <v>-4.4615066723728426E-2</v>
      </c>
      <c r="M50" s="5">
        <f t="shared" si="2"/>
        <v>-0.13665768056778094</v>
      </c>
      <c r="N50" s="11">
        <f t="shared" ca="1" si="3"/>
        <v>46029.772992129627</v>
      </c>
      <c r="O50" s="9" t="s">
        <v>35</v>
      </c>
      <c r="S50" t="s">
        <v>37</v>
      </c>
    </row>
    <row r="51" spans="1:19" x14ac:dyDescent="0.3">
      <c r="A51" s="1">
        <v>50</v>
      </c>
      <c r="B51" s="1" t="s">
        <v>16</v>
      </c>
      <c r="C51" s="1">
        <f t="shared" si="4"/>
        <v>5</v>
      </c>
      <c r="D51" s="1">
        <v>16</v>
      </c>
      <c r="E51" s="1" t="s">
        <v>12</v>
      </c>
      <c r="F51" s="1">
        <v>17</v>
      </c>
      <c r="G51" s="1">
        <v>97</v>
      </c>
      <c r="H51" s="1">
        <v>46</v>
      </c>
      <c r="I51" s="1">
        <v>48</v>
      </c>
      <c r="J51" s="1">
        <v>57</v>
      </c>
      <c r="K51" s="5">
        <f>AVERAGE(H51:J51)</f>
        <v>50.333333333333336</v>
      </c>
      <c r="L51" s="6">
        <f t="shared" si="1"/>
        <v>-5.584597041636135E-2</v>
      </c>
      <c r="M51" s="5">
        <f t="shared" si="2"/>
        <v>-0.13258726482666977</v>
      </c>
      <c r="N51" s="11">
        <f t="shared" ca="1" si="3"/>
        <v>46029.772992129627</v>
      </c>
    </row>
    <row r="52" spans="1:19" x14ac:dyDescent="0.3">
      <c r="A52" s="1">
        <v>51</v>
      </c>
      <c r="B52" s="1" t="s">
        <v>29</v>
      </c>
      <c r="C52" s="1">
        <f t="shared" si="4"/>
        <v>5</v>
      </c>
      <c r="D52" s="1">
        <v>17</v>
      </c>
      <c r="E52" s="1" t="s">
        <v>10</v>
      </c>
      <c r="F52" s="1">
        <v>17</v>
      </c>
      <c r="G52" s="1">
        <v>97</v>
      </c>
      <c r="H52" s="1">
        <v>92</v>
      </c>
      <c r="I52" s="1">
        <v>78</v>
      </c>
      <c r="J52" s="1">
        <v>37</v>
      </c>
      <c r="K52" s="5">
        <f>AVERAGE(H52:J52)</f>
        <v>69</v>
      </c>
      <c r="L52" s="6">
        <f t="shared" si="1"/>
        <v>-3.8463021130202689E-2</v>
      </c>
      <c r="M52" s="5">
        <f t="shared" si="2"/>
        <v>-0.12672688697909831</v>
      </c>
      <c r="N52" s="11">
        <f t="shared" ca="1" si="3"/>
        <v>46029.772992129627</v>
      </c>
      <c r="O52" s="7"/>
      <c r="P52" s="7" t="s">
        <v>39</v>
      </c>
      <c r="Q52" s="10"/>
    </row>
    <row r="53" spans="1:19" x14ac:dyDescent="0.3">
      <c r="A53" s="1">
        <v>52</v>
      </c>
      <c r="B53" s="1" t="s">
        <v>23</v>
      </c>
      <c r="C53" s="1">
        <f t="shared" si="4"/>
        <v>5</v>
      </c>
      <c r="D53" s="1">
        <v>16</v>
      </c>
      <c r="E53" s="1" t="s">
        <v>10</v>
      </c>
      <c r="F53" s="1">
        <v>17</v>
      </c>
      <c r="G53" s="1">
        <v>67</v>
      </c>
      <c r="H53" s="1">
        <v>48</v>
      </c>
      <c r="I53" s="1">
        <v>41</v>
      </c>
      <c r="J53" s="1">
        <v>65</v>
      </c>
      <c r="K53" s="5">
        <f>AVERAGE(H53:J53)</f>
        <v>51.333333333333336</v>
      </c>
      <c r="L53" s="6">
        <f t="shared" si="1"/>
        <v>-6.6183951827825646E-2</v>
      </c>
      <c r="M53" s="5">
        <f t="shared" si="2"/>
        <v>-9.7365712590699233E-2</v>
      </c>
      <c r="N53" s="11">
        <f t="shared" ca="1" si="3"/>
        <v>46029.772992129627</v>
      </c>
      <c r="P53" t="s">
        <v>40</v>
      </c>
    </row>
    <row r="54" spans="1:19" x14ac:dyDescent="0.3">
      <c r="A54" s="1">
        <v>53</v>
      </c>
      <c r="B54" s="1" t="s">
        <v>28</v>
      </c>
      <c r="C54" s="1">
        <f t="shared" si="4"/>
        <v>5</v>
      </c>
      <c r="D54" s="1">
        <v>17</v>
      </c>
      <c r="E54" s="1" t="s">
        <v>10</v>
      </c>
      <c r="F54" s="1">
        <v>2</v>
      </c>
      <c r="G54" s="1">
        <v>86</v>
      </c>
      <c r="H54" s="1">
        <v>87</v>
      </c>
      <c r="I54" s="1">
        <v>90</v>
      </c>
      <c r="J54" s="1">
        <v>37</v>
      </c>
      <c r="K54" s="5">
        <f>AVERAGE(H54:J54)</f>
        <v>71.333333333333329</v>
      </c>
      <c r="L54" s="6">
        <f t="shared" si="1"/>
        <v>-4.9613099490906816E-2</v>
      </c>
      <c r="M54" s="5">
        <f t="shared" si="2"/>
        <v>-9.8728226503685138E-2</v>
      </c>
      <c r="N54" s="11">
        <f t="shared" ca="1" si="3"/>
        <v>46029.772992129627</v>
      </c>
      <c r="P54" t="s">
        <v>41</v>
      </c>
    </row>
    <row r="55" spans="1:19" x14ac:dyDescent="0.3">
      <c r="A55" s="1">
        <v>54</v>
      </c>
      <c r="B55" s="1" t="s">
        <v>18</v>
      </c>
      <c r="C55" s="1">
        <f t="shared" si="4"/>
        <v>5</v>
      </c>
      <c r="D55" s="1">
        <v>18</v>
      </c>
      <c r="E55" s="1" t="s">
        <v>10</v>
      </c>
      <c r="F55" s="1">
        <v>2</v>
      </c>
      <c r="G55" s="1">
        <v>86</v>
      </c>
      <c r="H55" s="1">
        <v>84</v>
      </c>
      <c r="I55" s="1">
        <v>48</v>
      </c>
      <c r="J55" s="1">
        <v>87</v>
      </c>
      <c r="K55" s="5">
        <f>AVERAGE(H55:J55)</f>
        <v>73</v>
      </c>
      <c r="L55" s="6">
        <f t="shared" si="1"/>
        <v>-2.7346243043300258E-2</v>
      </c>
      <c r="M55" s="5">
        <f t="shared" si="2"/>
        <v>-9.4321331602360725E-2</v>
      </c>
      <c r="N55" s="11">
        <f t="shared" ca="1" si="3"/>
        <v>46029.772992129627</v>
      </c>
    </row>
    <row r="56" spans="1:19" x14ac:dyDescent="0.3">
      <c r="A56" s="1">
        <v>55</v>
      </c>
      <c r="B56" s="1" t="s">
        <v>21</v>
      </c>
      <c r="C56" s="1">
        <f t="shared" si="4"/>
        <v>5</v>
      </c>
      <c r="D56" s="1">
        <v>17</v>
      </c>
      <c r="E56" s="1" t="s">
        <v>10</v>
      </c>
      <c r="F56" s="1">
        <v>5</v>
      </c>
      <c r="G56" s="1">
        <v>93</v>
      </c>
      <c r="H56" s="1">
        <v>91</v>
      </c>
      <c r="I56" s="1">
        <v>38</v>
      </c>
      <c r="J56" s="1">
        <v>89</v>
      </c>
      <c r="K56" s="5">
        <f>AVERAGE(H56:J56)</f>
        <v>72.666666666666671</v>
      </c>
      <c r="L56" s="6">
        <f t="shared" si="1"/>
        <v>-6.3155367156606601E-3</v>
      </c>
      <c r="M56" s="5">
        <f t="shared" si="2"/>
        <v>-0.10088624956107288</v>
      </c>
      <c r="N56" s="11">
        <f t="shared" ca="1" si="3"/>
        <v>46029.772992129627</v>
      </c>
    </row>
    <row r="57" spans="1:19" x14ac:dyDescent="0.3">
      <c r="A57" s="1">
        <v>56</v>
      </c>
      <c r="B57" s="1" t="s">
        <v>17</v>
      </c>
      <c r="C57" s="1">
        <f t="shared" si="4"/>
        <v>6</v>
      </c>
      <c r="D57" s="1">
        <v>18</v>
      </c>
      <c r="E57" s="1" t="s">
        <v>12</v>
      </c>
      <c r="F57" s="1">
        <v>1</v>
      </c>
      <c r="G57" s="1">
        <v>80</v>
      </c>
      <c r="H57" s="1">
        <v>52</v>
      </c>
      <c r="I57" s="1">
        <v>100</v>
      </c>
      <c r="J57" s="1">
        <v>79</v>
      </c>
      <c r="K57" s="5">
        <f>AVERAGE(H57:J57)</f>
        <v>77</v>
      </c>
      <c r="L57" s="6">
        <f t="shared" si="1"/>
        <v>1.2846777581865572E-2</v>
      </c>
      <c r="M57" s="5">
        <f t="shared" si="2"/>
        <v>-0.12698561135983713</v>
      </c>
      <c r="N57" s="11">
        <f t="shared" ca="1" si="3"/>
        <v>46029.772992129627</v>
      </c>
    </row>
    <row r="58" spans="1:19" x14ac:dyDescent="0.3">
      <c r="A58" s="1">
        <v>57</v>
      </c>
      <c r="B58" s="1" t="s">
        <v>20</v>
      </c>
      <c r="C58" s="1">
        <f t="shared" si="4"/>
        <v>4</v>
      </c>
      <c r="D58" s="1">
        <v>18</v>
      </c>
      <c r="E58" s="1" t="s">
        <v>10</v>
      </c>
      <c r="F58" s="1">
        <v>1</v>
      </c>
      <c r="G58" s="1">
        <v>89</v>
      </c>
      <c r="H58" s="1">
        <v>38</v>
      </c>
      <c r="I58" s="1">
        <v>57</v>
      </c>
      <c r="J58" s="1">
        <v>57</v>
      </c>
      <c r="K58" s="5">
        <f>AVERAGE(H58:J58)</f>
        <v>50.666666666666664</v>
      </c>
      <c r="L58" s="6">
        <f t="shared" si="1"/>
        <v>-3.2894952599192904E-3</v>
      </c>
      <c r="M58" s="5">
        <f t="shared" si="2"/>
        <v>-0.12283928024673062</v>
      </c>
      <c r="N58" s="11">
        <f t="shared" ca="1" si="3"/>
        <v>46029.772992129627</v>
      </c>
    </row>
    <row r="59" spans="1:19" x14ac:dyDescent="0.3">
      <c r="A59" s="1">
        <v>58</v>
      </c>
      <c r="B59" s="1" t="s">
        <v>14</v>
      </c>
      <c r="C59" s="1">
        <f t="shared" si="4"/>
        <v>6</v>
      </c>
      <c r="D59" s="1">
        <v>15</v>
      </c>
      <c r="E59" s="1" t="s">
        <v>12</v>
      </c>
      <c r="F59" s="1">
        <v>19</v>
      </c>
      <c r="G59" s="1">
        <v>92</v>
      </c>
      <c r="H59" s="1">
        <v>41</v>
      </c>
      <c r="I59" s="1">
        <v>81</v>
      </c>
      <c r="J59" s="1">
        <v>70</v>
      </c>
      <c r="K59" s="5">
        <f>AVERAGE(H59:J59)</f>
        <v>64</v>
      </c>
      <c r="L59" s="6">
        <f t="shared" si="1"/>
        <v>-4.2026271226047865E-2</v>
      </c>
      <c r="M59" s="5">
        <f t="shared" si="2"/>
        <v>-0.11956671806820383</v>
      </c>
      <c r="N59" s="11">
        <f t="shared" ca="1" si="3"/>
        <v>46029.772992129627</v>
      </c>
    </row>
    <row r="60" spans="1:19" x14ac:dyDescent="0.3">
      <c r="A60" s="1">
        <v>59</v>
      </c>
      <c r="B60" s="1" t="s">
        <v>29</v>
      </c>
      <c r="C60" s="1">
        <f t="shared" si="4"/>
        <v>5</v>
      </c>
      <c r="D60" s="1">
        <v>17</v>
      </c>
      <c r="E60" s="1" t="s">
        <v>10</v>
      </c>
      <c r="F60" s="1">
        <v>2</v>
      </c>
      <c r="G60" s="1">
        <v>87</v>
      </c>
      <c r="H60" s="1">
        <v>30</v>
      </c>
      <c r="I60" s="1">
        <v>45</v>
      </c>
      <c r="J60" s="1">
        <v>93</v>
      </c>
      <c r="K60" s="5">
        <f>AVERAGE(H60:J60)</f>
        <v>56</v>
      </c>
      <c r="L60" s="6">
        <f t="shared" si="1"/>
        <v>-8.7739994390272913E-3</v>
      </c>
      <c r="M60" s="5">
        <f t="shared" si="2"/>
        <v>-0.12627700079977652</v>
      </c>
      <c r="N60" s="11">
        <f t="shared" ca="1" si="3"/>
        <v>46029.772992129627</v>
      </c>
    </row>
    <row r="61" spans="1:19" x14ac:dyDescent="0.3">
      <c r="A61" s="1">
        <v>60</v>
      </c>
      <c r="B61" s="1" t="s">
        <v>17</v>
      </c>
      <c r="C61" s="1">
        <f t="shared" si="4"/>
        <v>6</v>
      </c>
      <c r="D61" s="1">
        <v>15</v>
      </c>
      <c r="E61" s="1" t="s">
        <v>12</v>
      </c>
      <c r="F61" s="1">
        <v>12</v>
      </c>
      <c r="G61" s="1">
        <v>92</v>
      </c>
      <c r="H61" s="1">
        <v>87</v>
      </c>
      <c r="I61" s="1">
        <v>98</v>
      </c>
      <c r="J61" s="1">
        <v>56</v>
      </c>
      <c r="K61" s="5">
        <f>AVERAGE(H61:J61)</f>
        <v>80.333333333333329</v>
      </c>
      <c r="L61" s="6">
        <f t="shared" si="1"/>
        <v>-5.9932997878746827E-2</v>
      </c>
      <c r="M61" s="5">
        <f t="shared" si="2"/>
        <v>-0.14210095487504315</v>
      </c>
      <c r="N61" s="11">
        <f t="shared" ca="1" si="3"/>
        <v>46029.772992129627</v>
      </c>
    </row>
    <row r="62" spans="1:19" x14ac:dyDescent="0.3">
      <c r="A62" s="1">
        <v>61</v>
      </c>
      <c r="B62" s="1" t="s">
        <v>14</v>
      </c>
      <c r="C62" s="1">
        <f t="shared" si="4"/>
        <v>6</v>
      </c>
      <c r="D62" s="1">
        <v>17</v>
      </c>
      <c r="E62" s="1" t="s">
        <v>10</v>
      </c>
      <c r="F62" s="1">
        <v>6</v>
      </c>
      <c r="G62" s="1">
        <v>64</v>
      </c>
      <c r="H62" s="1">
        <v>30</v>
      </c>
      <c r="I62" s="1">
        <v>41</v>
      </c>
      <c r="J62" s="1">
        <v>92</v>
      </c>
      <c r="K62" s="5">
        <f>AVERAGE(H62:J62)</f>
        <v>54.333333333333336</v>
      </c>
      <c r="L62" s="6">
        <f t="shared" si="1"/>
        <v>-6.6958094517733005E-2</v>
      </c>
      <c r="M62" s="5">
        <f t="shared" si="2"/>
        <v>-0.13678347205136138</v>
      </c>
      <c r="N62" s="11">
        <f t="shared" ca="1" si="3"/>
        <v>46029.772992129627</v>
      </c>
    </row>
    <row r="63" spans="1:19" x14ac:dyDescent="0.3">
      <c r="A63" s="1">
        <v>62</v>
      </c>
      <c r="B63" s="1" t="s">
        <v>9</v>
      </c>
      <c r="C63" s="1">
        <f t="shared" si="4"/>
        <v>4</v>
      </c>
      <c r="D63" s="1">
        <v>17</v>
      </c>
      <c r="E63" s="1" t="s">
        <v>10</v>
      </c>
      <c r="F63" s="1">
        <v>4</v>
      </c>
      <c r="G63" s="1">
        <v>78</v>
      </c>
      <c r="H63" s="1">
        <v>63</v>
      </c>
      <c r="I63" s="1">
        <v>54</v>
      </c>
      <c r="J63" s="1">
        <v>46</v>
      </c>
      <c r="K63" s="5">
        <f>AVERAGE(H63:J63)</f>
        <v>54.333333333333336</v>
      </c>
      <c r="L63" s="6">
        <f t="shared" si="1"/>
        <v>-9.7909910947319156E-2</v>
      </c>
      <c r="M63" s="5">
        <f t="shared" si="2"/>
        <v>-8.344286354100372E-2</v>
      </c>
      <c r="N63" s="11">
        <f t="shared" ca="1" si="3"/>
        <v>46029.772992129627</v>
      </c>
    </row>
    <row r="64" spans="1:19" x14ac:dyDescent="0.3">
      <c r="A64" s="1">
        <v>63</v>
      </c>
      <c r="B64" s="1" t="s">
        <v>27</v>
      </c>
      <c r="C64" s="1">
        <f t="shared" si="4"/>
        <v>5</v>
      </c>
      <c r="D64" s="1">
        <v>15</v>
      </c>
      <c r="E64" s="1" t="s">
        <v>12</v>
      </c>
      <c r="F64" s="1">
        <v>11</v>
      </c>
      <c r="G64" s="1">
        <v>63</v>
      </c>
      <c r="H64" s="1">
        <v>77</v>
      </c>
      <c r="I64" s="1">
        <v>81</v>
      </c>
      <c r="J64" s="1">
        <v>62</v>
      </c>
      <c r="K64" s="5">
        <f>AVERAGE(H64:J64)</f>
        <v>73.333333333333329</v>
      </c>
      <c r="L64" s="6">
        <f t="shared" si="1"/>
        <v>-0.10366108811438352</v>
      </c>
      <c r="M64" s="5">
        <f t="shared" si="2"/>
        <v>-9.4104233637406595E-2</v>
      </c>
      <c r="N64" s="11">
        <f t="shared" ca="1" si="3"/>
        <v>46029.772992129627</v>
      </c>
    </row>
    <row r="65" spans="1:14" x14ac:dyDescent="0.3">
      <c r="A65" s="1">
        <v>64</v>
      </c>
      <c r="B65" s="1" t="s">
        <v>13</v>
      </c>
      <c r="C65" s="1">
        <f t="shared" si="4"/>
        <v>3</v>
      </c>
      <c r="D65" s="1">
        <v>15</v>
      </c>
      <c r="E65" s="1" t="s">
        <v>12</v>
      </c>
      <c r="F65" s="1">
        <v>17</v>
      </c>
      <c r="G65" s="1">
        <v>94</v>
      </c>
      <c r="H65" s="1">
        <v>30</v>
      </c>
      <c r="I65" s="1">
        <v>82</v>
      </c>
      <c r="J65" s="1">
        <v>58</v>
      </c>
      <c r="K65" s="5">
        <f>AVERAGE(H65:J65)</f>
        <v>56.666666666666664</v>
      </c>
      <c r="L65" s="6">
        <f t="shared" si="1"/>
        <v>-0.1048542058109031</v>
      </c>
      <c r="M65" s="5">
        <f t="shared" si="2"/>
        <v>-0.10016727489069444</v>
      </c>
      <c r="N65" s="11">
        <f t="shared" ca="1" si="3"/>
        <v>46029.772992129627</v>
      </c>
    </row>
    <row r="66" spans="1:14" x14ac:dyDescent="0.3">
      <c r="A66" s="1">
        <v>65</v>
      </c>
      <c r="B66" s="1" t="s">
        <v>24</v>
      </c>
      <c r="C66" s="1">
        <f t="shared" ref="C66:C97" si="5">LEN(B66)</f>
        <v>6</v>
      </c>
      <c r="D66" s="1">
        <v>17</v>
      </c>
      <c r="E66" s="1" t="s">
        <v>12</v>
      </c>
      <c r="F66" s="1">
        <v>6</v>
      </c>
      <c r="G66" s="1">
        <v>76</v>
      </c>
      <c r="H66" s="1">
        <v>45</v>
      </c>
      <c r="I66" s="1">
        <v>52</v>
      </c>
      <c r="J66" s="1">
        <v>42</v>
      </c>
      <c r="K66" s="5">
        <f>AVERAGE(H66:J66)</f>
        <v>46.333333333333336</v>
      </c>
      <c r="L66" s="6">
        <f t="shared" si="1"/>
        <v>-6.3164048759976665E-2</v>
      </c>
      <c r="M66" s="5">
        <f t="shared" si="2"/>
        <v>-9.5621104499450743E-2</v>
      </c>
      <c r="N66" s="11">
        <f t="shared" ref="N66:N100" ca="1" si="6">NOW()</f>
        <v>46029.772992129627</v>
      </c>
    </row>
    <row r="67" spans="1:14" x14ac:dyDescent="0.3">
      <c r="A67" s="1">
        <v>66</v>
      </c>
      <c r="B67" s="1" t="s">
        <v>28</v>
      </c>
      <c r="C67" s="1">
        <f t="shared" si="5"/>
        <v>5</v>
      </c>
      <c r="D67" s="1">
        <v>16</v>
      </c>
      <c r="E67" s="1" t="s">
        <v>10</v>
      </c>
      <c r="F67" s="1">
        <v>5</v>
      </c>
      <c r="G67" s="1">
        <v>87</v>
      </c>
      <c r="H67" s="1">
        <v>90</v>
      </c>
      <c r="I67" s="1">
        <v>45</v>
      </c>
      <c r="J67" s="1">
        <v>75</v>
      </c>
      <c r="K67" s="5">
        <f>AVERAGE(H67:J67)</f>
        <v>70</v>
      </c>
      <c r="L67" s="6">
        <f t="shared" ref="L67:L100" si="7">CORREL(F67:F165,H67:H165)</f>
        <v>-8.4493233244877217E-2</v>
      </c>
      <c r="M67" s="5">
        <f t="shared" ref="M67:M100" si="8">CORREL(G67:G165,J67:J165)</f>
        <v>-0.11749152073187911</v>
      </c>
      <c r="N67" s="11">
        <f t="shared" ca="1" si="6"/>
        <v>46029.772992129627</v>
      </c>
    </row>
    <row r="68" spans="1:14" x14ac:dyDescent="0.3">
      <c r="A68" s="1">
        <v>67</v>
      </c>
      <c r="B68" s="1" t="s">
        <v>25</v>
      </c>
      <c r="C68" s="1">
        <f t="shared" si="5"/>
        <v>5</v>
      </c>
      <c r="D68" s="1">
        <v>18</v>
      </c>
      <c r="E68" s="1" t="s">
        <v>12</v>
      </c>
      <c r="F68" s="1">
        <v>20</v>
      </c>
      <c r="G68" s="1">
        <v>89</v>
      </c>
      <c r="H68" s="1">
        <v>93</v>
      </c>
      <c r="I68" s="1">
        <v>86</v>
      </c>
      <c r="J68" s="1">
        <v>64</v>
      </c>
      <c r="K68" s="5">
        <f>AVERAGE(H68:J68)</f>
        <v>81</v>
      </c>
      <c r="L68" s="6">
        <f t="shared" si="7"/>
        <v>-6.1547053109298318E-2</v>
      </c>
      <c r="M68" s="5">
        <f t="shared" si="8"/>
        <v>-0.12278638165057786</v>
      </c>
      <c r="N68" s="11">
        <f t="shared" ca="1" si="6"/>
        <v>46029.772992129627</v>
      </c>
    </row>
    <row r="69" spans="1:14" x14ac:dyDescent="0.3">
      <c r="A69" s="1">
        <v>68</v>
      </c>
      <c r="B69" s="1" t="s">
        <v>28</v>
      </c>
      <c r="C69" s="1">
        <f t="shared" si="5"/>
        <v>5</v>
      </c>
      <c r="D69" s="1">
        <v>15</v>
      </c>
      <c r="E69" s="1" t="s">
        <v>10</v>
      </c>
      <c r="F69" s="1">
        <v>2</v>
      </c>
      <c r="G69" s="1">
        <v>88</v>
      </c>
      <c r="H69" s="1">
        <v>92</v>
      </c>
      <c r="I69" s="1">
        <v>68</v>
      </c>
      <c r="J69" s="1">
        <v>35</v>
      </c>
      <c r="K69" s="5">
        <f>AVERAGE(H69:J69)</f>
        <v>65</v>
      </c>
      <c r="L69" s="6">
        <f t="shared" si="7"/>
        <v>-0.11782122730272514</v>
      </c>
      <c r="M69" s="5">
        <f t="shared" si="8"/>
        <v>-0.12381247246494212</v>
      </c>
      <c r="N69" s="11">
        <f t="shared" ca="1" si="6"/>
        <v>46029.772992129627</v>
      </c>
    </row>
    <row r="70" spans="1:14" x14ac:dyDescent="0.3">
      <c r="A70" s="1">
        <v>69</v>
      </c>
      <c r="B70" s="1" t="s">
        <v>28</v>
      </c>
      <c r="C70" s="1">
        <f t="shared" si="5"/>
        <v>5</v>
      </c>
      <c r="D70" s="1">
        <v>18</v>
      </c>
      <c r="E70" s="1" t="s">
        <v>10</v>
      </c>
      <c r="F70" s="1">
        <v>6</v>
      </c>
      <c r="G70" s="1">
        <v>65</v>
      </c>
      <c r="H70" s="1">
        <v>98</v>
      </c>
      <c r="I70" s="1">
        <v>82</v>
      </c>
      <c r="J70" s="1">
        <v>98</v>
      </c>
      <c r="K70" s="5">
        <f>AVERAGE(H70:J70)</f>
        <v>92.666666666666671</v>
      </c>
      <c r="L70" s="6">
        <f t="shared" si="7"/>
        <v>-7.452409862438078E-2</v>
      </c>
      <c r="M70" s="5">
        <f t="shared" si="8"/>
        <v>-0.11120063923404057</v>
      </c>
      <c r="N70" s="11">
        <f t="shared" ca="1" si="6"/>
        <v>46029.772992129627</v>
      </c>
    </row>
    <row r="71" spans="1:14" x14ac:dyDescent="0.3">
      <c r="A71" s="1">
        <v>70</v>
      </c>
      <c r="B71" s="1" t="s">
        <v>21</v>
      </c>
      <c r="C71" s="1">
        <f t="shared" si="5"/>
        <v>5</v>
      </c>
      <c r="D71" s="1">
        <v>16</v>
      </c>
      <c r="E71" s="1" t="s">
        <v>12</v>
      </c>
      <c r="F71" s="1">
        <v>11</v>
      </c>
      <c r="G71" s="1">
        <v>94</v>
      </c>
      <c r="H71" s="1">
        <v>51</v>
      </c>
      <c r="I71" s="1">
        <v>71</v>
      </c>
      <c r="J71" s="1">
        <v>76</v>
      </c>
      <c r="K71" s="5">
        <f>AVERAGE(H71:J71)</f>
        <v>66</v>
      </c>
      <c r="L71" s="6">
        <f t="shared" si="7"/>
        <v>-4.1798404550368068E-2</v>
      </c>
      <c r="M71" s="5">
        <f t="shared" si="8"/>
        <v>-3.1825755366357525E-2</v>
      </c>
      <c r="N71" s="11">
        <f t="shared" ca="1" si="6"/>
        <v>46029.772992129627</v>
      </c>
    </row>
    <row r="72" spans="1:14" x14ac:dyDescent="0.3">
      <c r="A72" s="1">
        <v>71</v>
      </c>
      <c r="B72" s="1" t="s">
        <v>13</v>
      </c>
      <c r="C72" s="1">
        <f t="shared" si="5"/>
        <v>3</v>
      </c>
      <c r="D72" s="1">
        <v>16</v>
      </c>
      <c r="E72" s="1" t="s">
        <v>12</v>
      </c>
      <c r="F72" s="1">
        <v>16</v>
      </c>
      <c r="G72" s="1">
        <v>100</v>
      </c>
      <c r="H72" s="1">
        <v>96</v>
      </c>
      <c r="I72" s="1">
        <v>87</v>
      </c>
      <c r="J72" s="1">
        <v>54</v>
      </c>
      <c r="K72" s="5">
        <f>AVERAGE(H72:J72)</f>
        <v>79</v>
      </c>
      <c r="L72" s="6">
        <f t="shared" si="7"/>
        <v>-4.1293950181549757E-2</v>
      </c>
      <c r="M72" s="5">
        <f t="shared" si="8"/>
        <v>-5.156910075057871E-2</v>
      </c>
      <c r="N72" s="11">
        <f t="shared" ca="1" si="6"/>
        <v>46029.772992129627</v>
      </c>
    </row>
    <row r="73" spans="1:14" x14ac:dyDescent="0.3">
      <c r="A73" s="1">
        <v>72</v>
      </c>
      <c r="B73" s="1" t="s">
        <v>17</v>
      </c>
      <c r="C73" s="1">
        <f t="shared" si="5"/>
        <v>6</v>
      </c>
      <c r="D73" s="1">
        <v>16</v>
      </c>
      <c r="E73" s="1" t="s">
        <v>10</v>
      </c>
      <c r="F73" s="1">
        <v>16</v>
      </c>
      <c r="G73" s="1">
        <v>96</v>
      </c>
      <c r="H73" s="1">
        <v>55</v>
      </c>
      <c r="I73" s="1">
        <v>68</v>
      </c>
      <c r="J73" s="1">
        <v>95</v>
      </c>
      <c r="K73" s="5">
        <f>AVERAGE(H73:J73)</f>
        <v>72.666666666666671</v>
      </c>
      <c r="L73" s="6">
        <f t="shared" si="7"/>
        <v>-8.4735399681844251E-2</v>
      </c>
      <c r="M73" s="5">
        <f t="shared" si="8"/>
        <v>-3.2973695027851677E-2</v>
      </c>
      <c r="N73" s="11">
        <f t="shared" ca="1" si="6"/>
        <v>46029.772992129627</v>
      </c>
    </row>
    <row r="74" spans="1:14" x14ac:dyDescent="0.3">
      <c r="A74" s="1">
        <v>73</v>
      </c>
      <c r="B74" s="1" t="s">
        <v>23</v>
      </c>
      <c r="C74" s="1">
        <f t="shared" si="5"/>
        <v>5</v>
      </c>
      <c r="D74" s="1">
        <v>15</v>
      </c>
      <c r="E74" s="1" t="s">
        <v>10</v>
      </c>
      <c r="F74" s="1">
        <v>1</v>
      </c>
      <c r="G74" s="1">
        <v>83</v>
      </c>
      <c r="H74" s="1">
        <v>45</v>
      </c>
      <c r="I74" s="1">
        <v>43</v>
      </c>
      <c r="J74" s="1">
        <v>39</v>
      </c>
      <c r="K74" s="5">
        <f>AVERAGE(H74:J74)</f>
        <v>42.333333333333336</v>
      </c>
      <c r="L74" s="6">
        <f t="shared" si="7"/>
        <v>-7.3057477201835266E-2</v>
      </c>
      <c r="M74" s="5">
        <f t="shared" si="8"/>
        <v>-0.10303280719984793</v>
      </c>
      <c r="N74" s="11">
        <f t="shared" ca="1" si="6"/>
        <v>46029.772992129627</v>
      </c>
    </row>
    <row r="75" spans="1:14" x14ac:dyDescent="0.3">
      <c r="A75" s="1">
        <v>74</v>
      </c>
      <c r="B75" s="1" t="s">
        <v>25</v>
      </c>
      <c r="C75" s="1">
        <f t="shared" si="5"/>
        <v>5</v>
      </c>
      <c r="D75" s="1">
        <v>16</v>
      </c>
      <c r="E75" s="1" t="s">
        <v>12</v>
      </c>
      <c r="F75" s="1">
        <v>9</v>
      </c>
      <c r="G75" s="1">
        <v>88</v>
      </c>
      <c r="H75" s="1">
        <v>80</v>
      </c>
      <c r="I75" s="1">
        <v>34</v>
      </c>
      <c r="J75" s="1">
        <v>85</v>
      </c>
      <c r="K75" s="5">
        <f>AVERAGE(H75:J75)</f>
        <v>66.333333333333329</v>
      </c>
      <c r="L75" s="6">
        <f t="shared" si="7"/>
        <v>-0.12794291607839708</v>
      </c>
      <c r="M75" s="5">
        <f t="shared" si="8"/>
        <v>-0.10392400842623177</v>
      </c>
      <c r="N75" s="11">
        <f t="shared" ca="1" si="6"/>
        <v>46029.772992129627</v>
      </c>
    </row>
    <row r="76" spans="1:14" x14ac:dyDescent="0.3">
      <c r="A76" s="1">
        <v>75</v>
      </c>
      <c r="B76" s="1" t="s">
        <v>16</v>
      </c>
      <c r="C76" s="1">
        <f t="shared" si="5"/>
        <v>5</v>
      </c>
      <c r="D76" s="1">
        <v>15</v>
      </c>
      <c r="E76" s="1" t="s">
        <v>12</v>
      </c>
      <c r="F76" s="1">
        <v>6</v>
      </c>
      <c r="G76" s="1">
        <v>90</v>
      </c>
      <c r="H76" s="1">
        <v>86</v>
      </c>
      <c r="I76" s="1">
        <v>64</v>
      </c>
      <c r="J76" s="1">
        <v>59</v>
      </c>
      <c r="K76" s="5">
        <f>AVERAGE(H76:J76)</f>
        <v>69.666666666666671</v>
      </c>
      <c r="L76" s="6">
        <f t="shared" si="7"/>
        <v>-0.12210530560311163</v>
      </c>
      <c r="M76" s="5">
        <f t="shared" si="8"/>
        <v>-0.12775549348130286</v>
      </c>
      <c r="N76" s="11">
        <f t="shared" ca="1" si="6"/>
        <v>46029.772992129627</v>
      </c>
    </row>
    <row r="77" spans="1:14" x14ac:dyDescent="0.3">
      <c r="A77" s="1">
        <v>76</v>
      </c>
      <c r="B77" s="1" t="s">
        <v>14</v>
      </c>
      <c r="C77" s="1">
        <f t="shared" si="5"/>
        <v>6</v>
      </c>
      <c r="D77" s="1">
        <v>16</v>
      </c>
      <c r="E77" s="1" t="s">
        <v>12</v>
      </c>
      <c r="F77" s="1">
        <v>16</v>
      </c>
      <c r="G77" s="1">
        <v>94</v>
      </c>
      <c r="H77" s="1">
        <v>58</v>
      </c>
      <c r="I77" s="1">
        <v>47</v>
      </c>
      <c r="J77" s="1">
        <v>34</v>
      </c>
      <c r="K77" s="5">
        <f>AVERAGE(H77:J77)</f>
        <v>46.333333333333336</v>
      </c>
      <c r="L77" s="6">
        <f t="shared" si="7"/>
        <v>-9.6208244359168985E-2</v>
      </c>
      <c r="M77" s="5">
        <f t="shared" si="8"/>
        <v>-0.12576541212759307</v>
      </c>
      <c r="N77" s="11">
        <f t="shared" ca="1" si="6"/>
        <v>46029.772992129627</v>
      </c>
    </row>
    <row r="78" spans="1:14" x14ac:dyDescent="0.3">
      <c r="A78" s="1">
        <v>77</v>
      </c>
      <c r="B78" s="1" t="s">
        <v>25</v>
      </c>
      <c r="C78" s="1">
        <f t="shared" si="5"/>
        <v>5</v>
      </c>
      <c r="D78" s="1">
        <v>18</v>
      </c>
      <c r="E78" s="1" t="s">
        <v>10</v>
      </c>
      <c r="F78" s="1">
        <v>3</v>
      </c>
      <c r="G78" s="1">
        <v>92</v>
      </c>
      <c r="H78" s="1">
        <v>98</v>
      </c>
      <c r="I78" s="1">
        <v>38</v>
      </c>
      <c r="J78" s="1">
        <v>62</v>
      </c>
      <c r="K78" s="5">
        <f>AVERAGE(H78:J78)</f>
        <v>66</v>
      </c>
      <c r="L78" s="6">
        <f t="shared" si="7"/>
        <v>-8.9038436131429671E-2</v>
      </c>
      <c r="M78" s="5">
        <f t="shared" si="8"/>
        <v>-7.3062475929757037E-2</v>
      </c>
      <c r="N78" s="11">
        <f t="shared" ca="1" si="6"/>
        <v>46029.772992129627</v>
      </c>
    </row>
    <row r="79" spans="1:14" x14ac:dyDescent="0.3">
      <c r="A79" s="1">
        <v>78</v>
      </c>
      <c r="B79" s="1" t="s">
        <v>24</v>
      </c>
      <c r="C79" s="1">
        <f t="shared" si="5"/>
        <v>6</v>
      </c>
      <c r="D79" s="1">
        <v>18</v>
      </c>
      <c r="E79" s="1" t="s">
        <v>10</v>
      </c>
      <c r="F79" s="1">
        <v>20</v>
      </c>
      <c r="G79" s="1">
        <v>80</v>
      </c>
      <c r="H79" s="1">
        <v>76</v>
      </c>
      <c r="I79" s="1">
        <v>87</v>
      </c>
      <c r="J79" s="1">
        <v>94</v>
      </c>
      <c r="K79" s="5">
        <f>AVERAGE(H79:J79)</f>
        <v>85.666666666666671</v>
      </c>
      <c r="L79" s="6">
        <f t="shared" si="7"/>
        <v>-1.2109644544559321E-2</v>
      </c>
      <c r="M79" s="5">
        <f t="shared" si="8"/>
        <v>-7.3004730330779588E-2</v>
      </c>
      <c r="N79" s="11">
        <f t="shared" ca="1" si="6"/>
        <v>46029.772992129627</v>
      </c>
    </row>
    <row r="80" spans="1:14" x14ac:dyDescent="0.3">
      <c r="A80" s="1">
        <v>79</v>
      </c>
      <c r="B80" s="1" t="s">
        <v>27</v>
      </c>
      <c r="C80" s="1">
        <f t="shared" si="5"/>
        <v>5</v>
      </c>
      <c r="D80" s="1">
        <v>17</v>
      </c>
      <c r="E80" s="1" t="s">
        <v>10</v>
      </c>
      <c r="F80" s="1">
        <v>4</v>
      </c>
      <c r="G80" s="1">
        <v>91</v>
      </c>
      <c r="H80" s="1">
        <v>91</v>
      </c>
      <c r="I80" s="1">
        <v>46</v>
      </c>
      <c r="J80" s="1">
        <v>47</v>
      </c>
      <c r="K80" s="5">
        <f>AVERAGE(H80:J80)</f>
        <v>61.333333333333336</v>
      </c>
      <c r="L80" s="6">
        <f t="shared" si="7"/>
        <v>-5.3304841095119675E-2</v>
      </c>
      <c r="M80" s="5">
        <f t="shared" si="8"/>
        <v>-7.011808934402268E-2</v>
      </c>
      <c r="N80" s="11">
        <f t="shared" ca="1" si="6"/>
        <v>46029.772992129627</v>
      </c>
    </row>
    <row r="81" spans="1:14" x14ac:dyDescent="0.3">
      <c r="A81" s="1">
        <v>80</v>
      </c>
      <c r="B81" s="1" t="s">
        <v>13</v>
      </c>
      <c r="C81" s="1">
        <f t="shared" si="5"/>
        <v>3</v>
      </c>
      <c r="D81" s="1">
        <v>18</v>
      </c>
      <c r="E81" s="1" t="s">
        <v>10</v>
      </c>
      <c r="F81" s="1">
        <v>19</v>
      </c>
      <c r="G81" s="1">
        <v>82</v>
      </c>
      <c r="H81" s="1">
        <v>98</v>
      </c>
      <c r="I81" s="1">
        <v>36</v>
      </c>
      <c r="J81" s="1">
        <v>78</v>
      </c>
      <c r="K81" s="5">
        <f>AVERAGE(H81:J81)</f>
        <v>70.666666666666671</v>
      </c>
      <c r="L81" s="6">
        <f t="shared" si="7"/>
        <v>1.4086898805383491E-2</v>
      </c>
      <c r="M81" s="5">
        <f t="shared" si="8"/>
        <v>-4.3328564780472957E-2</v>
      </c>
      <c r="N81" s="11">
        <f t="shared" ca="1" si="6"/>
        <v>46029.772992129627</v>
      </c>
    </row>
    <row r="82" spans="1:14" x14ac:dyDescent="0.3">
      <c r="A82" s="1">
        <v>81</v>
      </c>
      <c r="B82" s="1" t="s">
        <v>16</v>
      </c>
      <c r="C82" s="1">
        <f t="shared" si="5"/>
        <v>5</v>
      </c>
      <c r="D82" s="1">
        <v>17</v>
      </c>
      <c r="E82" s="1" t="s">
        <v>10</v>
      </c>
      <c r="F82" s="1">
        <v>3</v>
      </c>
      <c r="G82" s="1">
        <v>92</v>
      </c>
      <c r="H82" s="1">
        <v>45</v>
      </c>
      <c r="I82" s="1">
        <v>75</v>
      </c>
      <c r="J82" s="1">
        <v>40</v>
      </c>
      <c r="K82" s="5">
        <f>AVERAGE(H82:J82)</f>
        <v>53.333333333333336</v>
      </c>
      <c r="L82" s="6">
        <f t="shared" si="7"/>
        <v>-0.10749428211526521</v>
      </c>
      <c r="M82" s="5">
        <f t="shared" si="8"/>
        <v>-4.8498586329265569E-2</v>
      </c>
      <c r="N82" s="11">
        <f t="shared" ca="1" si="6"/>
        <v>46029.772992129627</v>
      </c>
    </row>
    <row r="83" spans="1:14" x14ac:dyDescent="0.3">
      <c r="A83" s="1">
        <v>82</v>
      </c>
      <c r="B83" s="1" t="s">
        <v>14</v>
      </c>
      <c r="C83" s="1">
        <f t="shared" si="5"/>
        <v>6</v>
      </c>
      <c r="D83" s="1">
        <v>18</v>
      </c>
      <c r="E83" s="1" t="s">
        <v>10</v>
      </c>
      <c r="F83" s="1">
        <v>19</v>
      </c>
      <c r="G83" s="1">
        <v>62</v>
      </c>
      <c r="H83" s="1">
        <v>77</v>
      </c>
      <c r="I83" s="1">
        <v>42</v>
      </c>
      <c r="J83" s="1">
        <v>55</v>
      </c>
      <c r="K83" s="5">
        <f>AVERAGE(H83:J83)</f>
        <v>58</v>
      </c>
      <c r="L83" s="6">
        <f t="shared" si="7"/>
        <v>-0.15805632174510723</v>
      </c>
      <c r="M83" s="5">
        <f t="shared" si="8"/>
        <v>2.1568657169201287E-3</v>
      </c>
      <c r="N83" s="11">
        <f t="shared" ca="1" si="6"/>
        <v>46029.772992129627</v>
      </c>
    </row>
    <row r="84" spans="1:14" x14ac:dyDescent="0.3">
      <c r="A84" s="1">
        <v>83</v>
      </c>
      <c r="B84" s="1" t="s">
        <v>26</v>
      </c>
      <c r="C84" s="1">
        <f t="shared" si="5"/>
        <v>7</v>
      </c>
      <c r="D84" s="1">
        <v>15</v>
      </c>
      <c r="E84" s="1" t="s">
        <v>12</v>
      </c>
      <c r="F84" s="1">
        <v>20</v>
      </c>
      <c r="G84" s="1">
        <v>77</v>
      </c>
      <c r="H84" s="1">
        <v>68</v>
      </c>
      <c r="I84" s="1">
        <v>69</v>
      </c>
      <c r="J84" s="1">
        <v>92</v>
      </c>
      <c r="K84" s="5">
        <f>AVERAGE(H84:J84)</f>
        <v>76.333333333333329</v>
      </c>
      <c r="L84" s="6">
        <f t="shared" si="7"/>
        <v>-0.23613838235987236</v>
      </c>
      <c r="M84" s="5">
        <f t="shared" si="8"/>
        <v>-2.8890702975793884E-2</v>
      </c>
      <c r="N84" s="11">
        <f t="shared" ca="1" si="6"/>
        <v>46029.772992129627</v>
      </c>
    </row>
    <row r="85" spans="1:14" x14ac:dyDescent="0.3">
      <c r="A85" s="1">
        <v>84</v>
      </c>
      <c r="B85" s="1" t="s">
        <v>20</v>
      </c>
      <c r="C85" s="1">
        <f t="shared" si="5"/>
        <v>4</v>
      </c>
      <c r="D85" s="1">
        <v>18</v>
      </c>
      <c r="E85" s="1" t="s">
        <v>10</v>
      </c>
      <c r="F85" s="1">
        <v>7</v>
      </c>
      <c r="G85" s="1">
        <v>84</v>
      </c>
      <c r="H85" s="1">
        <v>62</v>
      </c>
      <c r="I85" s="1">
        <v>71</v>
      </c>
      <c r="J85" s="1">
        <v>88</v>
      </c>
      <c r="K85" s="5">
        <f>AVERAGE(H85:J85)</f>
        <v>73.666666666666671</v>
      </c>
      <c r="L85" s="6">
        <f t="shared" si="7"/>
        <v>-0.30508777563736106</v>
      </c>
      <c r="M85" s="5">
        <f t="shared" si="8"/>
        <v>-1.1305599075722402E-3</v>
      </c>
      <c r="N85" s="11">
        <f t="shared" ca="1" si="6"/>
        <v>46029.772992129627</v>
      </c>
    </row>
    <row r="86" spans="1:14" x14ac:dyDescent="0.3">
      <c r="A86" s="1">
        <v>85</v>
      </c>
      <c r="B86" s="1" t="s">
        <v>14</v>
      </c>
      <c r="C86" s="1">
        <f t="shared" si="5"/>
        <v>6</v>
      </c>
      <c r="D86" s="1">
        <v>17</v>
      </c>
      <c r="E86" s="1" t="s">
        <v>10</v>
      </c>
      <c r="F86" s="1">
        <v>20</v>
      </c>
      <c r="G86" s="1">
        <v>90</v>
      </c>
      <c r="H86" s="1">
        <v>52</v>
      </c>
      <c r="I86" s="1">
        <v>38</v>
      </c>
      <c r="J86" s="1">
        <v>56</v>
      </c>
      <c r="K86" s="5">
        <f>AVERAGE(H86:J86)</f>
        <v>48.666666666666664</v>
      </c>
      <c r="L86" s="6">
        <f t="shared" si="7"/>
        <v>-0.30118852580567279</v>
      </c>
      <c r="M86" s="5">
        <f t="shared" si="8"/>
        <v>-2.1196022286575574E-2</v>
      </c>
      <c r="N86" s="11">
        <f t="shared" ca="1" si="6"/>
        <v>46029.772992129627</v>
      </c>
    </row>
    <row r="87" spans="1:14" x14ac:dyDescent="0.3">
      <c r="A87" s="1">
        <v>86</v>
      </c>
      <c r="B87" s="1" t="s">
        <v>20</v>
      </c>
      <c r="C87" s="1">
        <f t="shared" si="5"/>
        <v>4</v>
      </c>
      <c r="D87" s="1">
        <v>17</v>
      </c>
      <c r="E87" s="1" t="s">
        <v>10</v>
      </c>
      <c r="F87" s="1">
        <v>9</v>
      </c>
      <c r="G87" s="1">
        <v>62</v>
      </c>
      <c r="H87" s="1">
        <v>39</v>
      </c>
      <c r="I87" s="1">
        <v>79</v>
      </c>
      <c r="J87" s="1">
        <v>78</v>
      </c>
      <c r="K87" s="5">
        <f>AVERAGE(H87:J87)</f>
        <v>65.333333333333329</v>
      </c>
      <c r="L87" s="6">
        <f t="shared" si="7"/>
        <v>-0.30580130523370846</v>
      </c>
      <c r="M87" s="5">
        <f t="shared" si="8"/>
        <v>-1.3906361474866331E-2</v>
      </c>
      <c r="N87" s="11">
        <f t="shared" ca="1" si="6"/>
        <v>46029.772992129627</v>
      </c>
    </row>
    <row r="88" spans="1:14" x14ac:dyDescent="0.3">
      <c r="A88" s="1">
        <v>87</v>
      </c>
      <c r="B88" s="1" t="s">
        <v>26</v>
      </c>
      <c r="C88" s="1">
        <f t="shared" si="5"/>
        <v>7</v>
      </c>
      <c r="D88" s="1">
        <v>16</v>
      </c>
      <c r="E88" s="1" t="s">
        <v>12</v>
      </c>
      <c r="F88" s="1">
        <v>1</v>
      </c>
      <c r="G88" s="1">
        <v>99</v>
      </c>
      <c r="H88" s="1">
        <v>98</v>
      </c>
      <c r="I88" s="1">
        <v>56</v>
      </c>
      <c r="J88" s="1">
        <v>62</v>
      </c>
      <c r="K88" s="5">
        <f>AVERAGE(H88:J88)</f>
        <v>72</v>
      </c>
      <c r="L88" s="6">
        <f t="shared" si="7"/>
        <v>-0.31907324515673052</v>
      </c>
      <c r="M88" s="5">
        <f t="shared" si="8"/>
        <v>9.1176132510749477E-2</v>
      </c>
      <c r="N88" s="11">
        <f t="shared" ca="1" si="6"/>
        <v>46029.772992129627</v>
      </c>
    </row>
    <row r="89" spans="1:14" x14ac:dyDescent="0.3">
      <c r="A89" s="1">
        <v>88</v>
      </c>
      <c r="B89" s="1" t="s">
        <v>27</v>
      </c>
      <c r="C89" s="1">
        <f t="shared" si="5"/>
        <v>5</v>
      </c>
      <c r="D89" s="1">
        <v>15</v>
      </c>
      <c r="E89" s="1" t="s">
        <v>10</v>
      </c>
      <c r="F89" s="1">
        <v>8</v>
      </c>
      <c r="G89" s="1">
        <v>83</v>
      </c>
      <c r="H89" s="1">
        <v>63</v>
      </c>
      <c r="I89" s="1">
        <v>95</v>
      </c>
      <c r="J89" s="1">
        <v>30</v>
      </c>
      <c r="K89" s="5">
        <f>AVERAGE(H89:J89)</f>
        <v>62.666666666666664</v>
      </c>
      <c r="L89" s="6">
        <f t="shared" si="7"/>
        <v>-0.14777645557067862</v>
      </c>
      <c r="M89" s="5">
        <f t="shared" si="8"/>
        <v>7.6080716129090342E-2</v>
      </c>
      <c r="N89" s="11">
        <f t="shared" ca="1" si="6"/>
        <v>46029.772992129627</v>
      </c>
    </row>
    <row r="90" spans="1:14" x14ac:dyDescent="0.3">
      <c r="A90" s="1">
        <v>89</v>
      </c>
      <c r="B90" s="1" t="s">
        <v>13</v>
      </c>
      <c r="C90" s="1">
        <f t="shared" si="5"/>
        <v>3</v>
      </c>
      <c r="D90" s="1">
        <v>18</v>
      </c>
      <c r="E90" s="1" t="s">
        <v>10</v>
      </c>
      <c r="F90" s="1">
        <v>7</v>
      </c>
      <c r="G90" s="1">
        <v>91</v>
      </c>
      <c r="H90" s="1">
        <v>81</v>
      </c>
      <c r="I90" s="1">
        <v>34</v>
      </c>
      <c r="J90" s="1">
        <v>50</v>
      </c>
      <c r="K90" s="5">
        <f>AVERAGE(H90:J90)</f>
        <v>55</v>
      </c>
      <c r="L90" s="6">
        <f t="shared" si="7"/>
        <v>-0.13707609100028451</v>
      </c>
      <c r="M90" s="5">
        <f t="shared" si="8"/>
        <v>0.1083368478662065</v>
      </c>
      <c r="N90" s="11">
        <f t="shared" ca="1" si="6"/>
        <v>46029.772992129627</v>
      </c>
    </row>
    <row r="91" spans="1:14" x14ac:dyDescent="0.3">
      <c r="A91" s="1">
        <v>90</v>
      </c>
      <c r="B91" s="1" t="s">
        <v>17</v>
      </c>
      <c r="C91" s="1">
        <f t="shared" si="5"/>
        <v>6</v>
      </c>
      <c r="D91" s="1">
        <v>16</v>
      </c>
      <c r="E91" s="1" t="s">
        <v>12</v>
      </c>
      <c r="F91" s="1">
        <v>18</v>
      </c>
      <c r="G91" s="1">
        <v>81</v>
      </c>
      <c r="H91" s="1">
        <v>39</v>
      </c>
      <c r="I91" s="1">
        <v>58</v>
      </c>
      <c r="J91" s="1">
        <v>84</v>
      </c>
      <c r="K91" s="5">
        <f>AVERAGE(H91:J91)</f>
        <v>60.333333333333336</v>
      </c>
      <c r="L91" s="6">
        <f t="shared" si="7"/>
        <v>-7.3559189348855775E-2</v>
      </c>
      <c r="M91" s="5">
        <f t="shared" si="8"/>
        <v>0.15739802551363585</v>
      </c>
      <c r="N91" s="11">
        <f t="shared" ca="1" si="6"/>
        <v>46029.772992129627</v>
      </c>
    </row>
    <row r="92" spans="1:14" x14ac:dyDescent="0.3">
      <c r="A92" s="1">
        <v>91</v>
      </c>
      <c r="B92" s="1" t="s">
        <v>21</v>
      </c>
      <c r="C92" s="1">
        <f t="shared" si="5"/>
        <v>5</v>
      </c>
      <c r="D92" s="1">
        <v>18</v>
      </c>
      <c r="E92" s="1" t="s">
        <v>10</v>
      </c>
      <c r="F92" s="1">
        <v>8</v>
      </c>
      <c r="G92" s="1">
        <v>82</v>
      </c>
      <c r="H92" s="1">
        <v>48</v>
      </c>
      <c r="I92" s="1">
        <v>66</v>
      </c>
      <c r="J92" s="1">
        <v>35</v>
      </c>
      <c r="K92" s="5">
        <f>AVERAGE(H92:J92)</f>
        <v>49.666666666666664</v>
      </c>
      <c r="L92" s="6">
        <f t="shared" si="7"/>
        <v>1.1286695498073672E-2</v>
      </c>
      <c r="M92" s="5">
        <f t="shared" si="8"/>
        <v>0.14852612177213884</v>
      </c>
      <c r="N92" s="11">
        <f t="shared" ca="1" si="6"/>
        <v>46029.772992129627</v>
      </c>
    </row>
    <row r="93" spans="1:14" x14ac:dyDescent="0.3">
      <c r="A93" s="1">
        <v>92</v>
      </c>
      <c r="B93" s="1" t="s">
        <v>18</v>
      </c>
      <c r="C93" s="1">
        <f t="shared" si="5"/>
        <v>5</v>
      </c>
      <c r="D93" s="1">
        <v>18</v>
      </c>
      <c r="E93" s="1" t="s">
        <v>10</v>
      </c>
      <c r="F93" s="1">
        <v>1</v>
      </c>
      <c r="G93" s="1">
        <v>61</v>
      </c>
      <c r="H93" s="1">
        <v>87</v>
      </c>
      <c r="I93" s="1">
        <v>67</v>
      </c>
      <c r="J93" s="1">
        <v>98</v>
      </c>
      <c r="K93" s="5">
        <f>AVERAGE(H93:J93)</f>
        <v>84</v>
      </c>
      <c r="L93" s="6">
        <f t="shared" si="7"/>
        <v>-4.3951713219281079E-4</v>
      </c>
      <c r="M93" s="5">
        <f t="shared" si="8"/>
        <v>0.19375366735309235</v>
      </c>
      <c r="N93" s="11">
        <f t="shared" ca="1" si="6"/>
        <v>46029.772992129627</v>
      </c>
    </row>
    <row r="94" spans="1:14" x14ac:dyDescent="0.3">
      <c r="A94" s="1">
        <v>93</v>
      </c>
      <c r="B94" s="1" t="s">
        <v>26</v>
      </c>
      <c r="C94" s="1">
        <f t="shared" si="5"/>
        <v>7</v>
      </c>
      <c r="D94" s="1">
        <v>16</v>
      </c>
      <c r="E94" s="1" t="s">
        <v>10</v>
      </c>
      <c r="F94" s="1">
        <v>11</v>
      </c>
      <c r="G94" s="1">
        <v>86</v>
      </c>
      <c r="H94" s="1">
        <v>30</v>
      </c>
      <c r="I94" s="1">
        <v>37</v>
      </c>
      <c r="J94" s="1">
        <v>34</v>
      </c>
      <c r="K94" s="5">
        <f>AVERAGE(H94:J94)</f>
        <v>33.666666666666664</v>
      </c>
      <c r="L94" s="6">
        <f t="shared" si="7"/>
        <v>0.43110393664774349</v>
      </c>
      <c r="M94" s="5">
        <f t="shared" si="8"/>
        <v>0.71355446953272217</v>
      </c>
      <c r="N94" s="11">
        <f t="shared" ca="1" si="6"/>
        <v>46029.772992129627</v>
      </c>
    </row>
    <row r="95" spans="1:14" x14ac:dyDescent="0.3">
      <c r="A95" s="1">
        <v>94</v>
      </c>
      <c r="B95" s="1" t="s">
        <v>21</v>
      </c>
      <c r="C95" s="1">
        <f t="shared" si="5"/>
        <v>5</v>
      </c>
      <c r="D95" s="1">
        <v>16</v>
      </c>
      <c r="E95" s="1" t="s">
        <v>10</v>
      </c>
      <c r="F95" s="1">
        <v>18</v>
      </c>
      <c r="G95" s="1">
        <v>61</v>
      </c>
      <c r="H95" s="1">
        <v>98</v>
      </c>
      <c r="I95" s="1">
        <v>94</v>
      </c>
      <c r="J95" s="1">
        <v>32</v>
      </c>
      <c r="K95" s="5">
        <f>AVERAGE(H95:J95)</f>
        <v>74.666666666666671</v>
      </c>
      <c r="L95" s="6">
        <f t="shared" si="7"/>
        <v>0.4456946749440911</v>
      </c>
      <c r="M95" s="5">
        <f t="shared" si="8"/>
        <v>0.90797173332491476</v>
      </c>
      <c r="N95" s="11">
        <f t="shared" ca="1" si="6"/>
        <v>46029.772992129627</v>
      </c>
    </row>
    <row r="96" spans="1:14" x14ac:dyDescent="0.3">
      <c r="A96" s="1">
        <v>95</v>
      </c>
      <c r="B96" s="1" t="s">
        <v>30</v>
      </c>
      <c r="C96" s="1">
        <f t="shared" si="5"/>
        <v>6</v>
      </c>
      <c r="D96" s="1">
        <v>16</v>
      </c>
      <c r="E96" s="1" t="s">
        <v>10</v>
      </c>
      <c r="F96" s="1">
        <v>10</v>
      </c>
      <c r="G96" s="1">
        <v>85</v>
      </c>
      <c r="H96" s="1">
        <v>33</v>
      </c>
      <c r="I96" s="1">
        <v>46</v>
      </c>
      <c r="J96" s="1">
        <v>82</v>
      </c>
      <c r="K96" s="5">
        <f>AVERAGE(H96:J96)</f>
        <v>53.666666666666664</v>
      </c>
      <c r="L96" s="6">
        <f t="shared" si="7"/>
        <v>-3.8377631325960518E-2</v>
      </c>
      <c r="M96" s="5">
        <f t="shared" si="8"/>
        <v>0.83716388006001219</v>
      </c>
      <c r="N96" s="11">
        <f t="shared" ca="1" si="6"/>
        <v>46029.772992129627</v>
      </c>
    </row>
    <row r="97" spans="1:14" x14ac:dyDescent="0.3">
      <c r="A97" s="1">
        <v>96</v>
      </c>
      <c r="B97" s="1" t="s">
        <v>27</v>
      </c>
      <c r="C97" s="1">
        <f t="shared" si="5"/>
        <v>5</v>
      </c>
      <c r="D97" s="1">
        <v>16</v>
      </c>
      <c r="E97" s="1" t="s">
        <v>12</v>
      </c>
      <c r="F97" s="1">
        <v>3</v>
      </c>
      <c r="G97" s="1">
        <v>76</v>
      </c>
      <c r="H97" s="1">
        <v>45</v>
      </c>
      <c r="I97" s="1">
        <v>100</v>
      </c>
      <c r="J97" s="1">
        <v>52</v>
      </c>
      <c r="K97" s="5">
        <f>AVERAGE(H97:J97)</f>
        <v>65.666666666666671</v>
      </c>
      <c r="L97" s="6">
        <f t="shared" si="7"/>
        <v>-6.7548128387954917E-2</v>
      </c>
      <c r="M97" s="5">
        <f t="shared" si="8"/>
        <v>0.97432667752268531</v>
      </c>
      <c r="N97" s="11">
        <f t="shared" ca="1" si="6"/>
        <v>46029.772992129627</v>
      </c>
    </row>
    <row r="98" spans="1:14" x14ac:dyDescent="0.3">
      <c r="A98" s="1">
        <v>97</v>
      </c>
      <c r="B98" s="1" t="s">
        <v>24</v>
      </c>
      <c r="C98" s="1">
        <f t="shared" ref="C98:C129" si="9">LEN(B98)</f>
        <v>6</v>
      </c>
      <c r="D98" s="1">
        <v>16</v>
      </c>
      <c r="E98" s="1" t="s">
        <v>12</v>
      </c>
      <c r="F98" s="1">
        <v>7</v>
      </c>
      <c r="G98" s="1">
        <v>99</v>
      </c>
      <c r="H98" s="1">
        <v>53</v>
      </c>
      <c r="I98" s="1">
        <v>74</v>
      </c>
      <c r="J98" s="1">
        <v>82</v>
      </c>
      <c r="K98" s="5">
        <f>AVERAGE(H98:J98)</f>
        <v>69.666666666666671</v>
      </c>
      <c r="L98" s="6">
        <f t="shared" si="7"/>
        <v>-0.26015295118650827</v>
      </c>
      <c r="M98" s="5">
        <f t="shared" si="8"/>
        <v>0.97072534339415106</v>
      </c>
      <c r="N98" s="11">
        <f t="shared" ca="1" si="6"/>
        <v>46029.772992129627</v>
      </c>
    </row>
    <row r="99" spans="1:14" x14ac:dyDescent="0.3">
      <c r="A99" s="1">
        <v>98</v>
      </c>
      <c r="B99" s="1" t="s">
        <v>15</v>
      </c>
      <c r="C99" s="1">
        <f t="shared" si="9"/>
        <v>6</v>
      </c>
      <c r="D99" s="1">
        <v>18</v>
      </c>
      <c r="E99" s="1" t="s">
        <v>12</v>
      </c>
      <c r="F99" s="1">
        <v>16</v>
      </c>
      <c r="G99" s="1">
        <v>92</v>
      </c>
      <c r="H99" s="1">
        <v>31</v>
      </c>
      <c r="I99" s="1">
        <v>33</v>
      </c>
      <c r="J99" s="1">
        <v>66</v>
      </c>
      <c r="K99" s="5">
        <f>AVERAGE(H99:J99)</f>
        <v>43.333333333333336</v>
      </c>
      <c r="L99" s="6" t="e">
        <f t="shared" si="7"/>
        <v>#DIV/0!</v>
      </c>
      <c r="M99" s="5">
        <f t="shared" si="8"/>
        <v>1</v>
      </c>
      <c r="N99" s="11">
        <f t="shared" ca="1" si="6"/>
        <v>46029.772992129627</v>
      </c>
    </row>
    <row r="100" spans="1:14" x14ac:dyDescent="0.3">
      <c r="A100" s="1">
        <v>99</v>
      </c>
      <c r="B100" s="1" t="s">
        <v>13</v>
      </c>
      <c r="C100" s="1">
        <f t="shared" si="9"/>
        <v>3</v>
      </c>
      <c r="D100" s="1">
        <v>16</v>
      </c>
      <c r="E100" s="1" t="s">
        <v>10</v>
      </c>
      <c r="F100" s="1">
        <v>16</v>
      </c>
      <c r="G100" s="1">
        <v>68</v>
      </c>
      <c r="H100" s="1">
        <v>61</v>
      </c>
      <c r="I100" s="1">
        <v>65</v>
      </c>
      <c r="J100" s="1">
        <v>46</v>
      </c>
      <c r="K100" s="5">
        <f>AVERAGE(H100:J100)</f>
        <v>57.333333333333336</v>
      </c>
      <c r="L100" s="6" t="e">
        <f t="shared" si="7"/>
        <v>#DIV/0!</v>
      </c>
      <c r="M100" s="5" t="e">
        <f t="shared" si="8"/>
        <v>#DIV/0!</v>
      </c>
      <c r="N100" s="11">
        <f t="shared" ca="1" si="6"/>
        <v>46029.772992129627</v>
      </c>
    </row>
    <row r="101" spans="1:14" x14ac:dyDescent="0.3">
      <c r="A101" s="1"/>
      <c r="B101" s="1"/>
      <c r="C101" s="1"/>
      <c r="D101" s="1"/>
      <c r="E101" s="1"/>
      <c r="F101" s="2"/>
      <c r="G101" s="6"/>
    </row>
    <row r="102" spans="1:14" x14ac:dyDescent="0.3">
      <c r="A102" s="1"/>
      <c r="B102" s="1"/>
      <c r="C102" s="1"/>
      <c r="D102" s="1"/>
      <c r="E102" s="1"/>
      <c r="F102" s="1"/>
      <c r="G102" s="6"/>
    </row>
    <row r="103" spans="1:14" x14ac:dyDescent="0.3">
      <c r="A103" s="1"/>
      <c r="B103" s="1"/>
      <c r="C103" s="1"/>
      <c r="D103" s="1"/>
      <c r="E103" s="1"/>
      <c r="F103" s="5"/>
      <c r="G103" s="6"/>
    </row>
    <row r="104" spans="1:14" x14ac:dyDescent="0.3">
      <c r="A104" s="1"/>
      <c r="B104" s="1"/>
      <c r="C104" s="1"/>
      <c r="D104" s="1"/>
      <c r="E104" s="1"/>
      <c r="F104" s="1"/>
      <c r="G104" s="6"/>
    </row>
  </sheetData>
  <phoneticPr fontId="18" type="noConversion"/>
  <conditionalFormatting sqref="Y31">
    <cfRule type="cellIs" dxfId="8" priority="16" operator="greaterThan">
      <formula>90</formula>
    </cfRule>
    <cfRule type="cellIs" dxfId="7" priority="17" operator="greaterThan">
      <formula>40</formula>
    </cfRule>
  </conditionalFormatting>
  <conditionalFormatting sqref="E101:E1048576">
    <cfRule type="cellIs" dxfId="6" priority="13" operator="equal">
      <formula>90</formula>
    </cfRule>
    <cfRule type="cellIs" dxfId="5" priority="14" operator="greaterThan">
      <formula>90</formula>
    </cfRule>
    <cfRule type="cellIs" dxfId="4" priority="15" operator="greaterThan">
      <formula>90</formula>
    </cfRule>
  </conditionalFormatting>
  <conditionalFormatting sqref="H1:J100">
    <cfRule type="cellIs" dxfId="3" priority="4" operator="lessThan">
      <formula>40</formula>
    </cfRule>
  </conditionalFormatting>
  <conditionalFormatting sqref="G1:G100">
    <cfRule type="cellIs" dxfId="2" priority="1" operator="lessThan">
      <formula>75</formula>
    </cfRule>
    <cfRule type="cellIs" dxfId="1" priority="2" operator="between">
      <formula>70</formula>
      <formula>85</formula>
    </cfRule>
    <cfRule type="cellIs" dxfId="0" priority="3" operator="greaterThan">
      <formula>90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Sandesh Joshi</cp:lastModifiedBy>
  <dcterms:created xsi:type="dcterms:W3CDTF">2026-01-07T12:48:06Z</dcterms:created>
  <dcterms:modified xsi:type="dcterms:W3CDTF">2026-01-07T12:48:06Z</dcterms:modified>
</cp:coreProperties>
</file>